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ventory" sheetId="1" state="visible" r:id="rId1"/>
    <sheet name="Notes" sheetId="2" state="visible" r:id="rId2"/>
  </sheets>
  <definedNames>
    <definedName name="_xlnm._FilterDatabase" localSheetId="0" hidden="1">'Inventory'!$A$5:$N$78</definedName>
    <definedName name="_xlnm.Print_Titles" localSheetId="0">'Inventory'!$5:$5</definedName>
  </definedNames>
  <calcPr calcId="124519" fullCalcOnLoad="1"/>
</workbook>
</file>

<file path=xl/styles.xml><?xml version="1.0" encoding="utf-8"?>
<styleSheet xmlns="http://schemas.openxmlformats.org/spreadsheetml/2006/main">
  <numFmts count="2">
    <numFmt numFmtId="164" formatCode="$#,##0.00"/>
    <numFmt numFmtId="165" formatCode="yyyy-mm-dd"/>
  </numFmts>
  <fonts count="12">
    <font>
      <name val="Calibri"/>
      <family val="2"/>
      <color theme="1"/>
      <sz val="11"/>
      <scheme val="minor"/>
    </font>
    <font>
      <name val="Arial"/>
      <b val="1"/>
      <sz val="14"/>
    </font>
    <font>
      <name val="Arial"/>
      <i val="1"/>
      <sz val="10"/>
    </font>
    <font>
      <name val="Arial"/>
      <b val="1"/>
      <color rgb="00C00000"/>
      <sz val="10"/>
    </font>
    <font>
      <name val="Arial"/>
      <b val="1"/>
      <color rgb="00FFFFFF"/>
    </font>
    <font>
      <name val="Arial"/>
      <sz val="10"/>
    </font>
    <font>
      <name val="Arial"/>
      <color rgb="000563C1"/>
      <sz val="10"/>
      <u val="single"/>
    </font>
    <font>
      <name val="Arial"/>
      <b val="1"/>
      <sz val="10"/>
    </font>
    <font>
      <name val="Arial"/>
      <color rgb="00808080"/>
      <sz val="10"/>
    </font>
    <font>
      <name val="Arial"/>
      <i val="1"/>
      <color rgb="00808080"/>
      <sz val="10"/>
    </font>
    <font>
      <name val="Arial"/>
      <b val="1"/>
    </font>
    <font>
      <name val="Arial"/>
      <b val="1"/>
      <sz val="13"/>
    </font>
  </fonts>
  <fills count="5">
    <fill>
      <patternFill/>
    </fill>
    <fill>
      <patternFill patternType="gray125"/>
    </fill>
    <fill>
      <patternFill patternType="solid">
        <fgColor rgb="001F3864"/>
      </patternFill>
    </fill>
    <fill>
      <patternFill patternType="solid">
        <fgColor rgb="00BF8F00"/>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5" fillId="0" borderId="1" applyAlignment="1" pivotButton="0" quotePrefix="0" xfId="0">
      <alignment vertical="top" wrapText="1"/>
    </xf>
    <xf numFmtId="0" fontId="6" fillId="0" borderId="1" applyAlignment="1" pivotButton="0" quotePrefix="0" xfId="0">
      <alignment vertical="top" wrapText="1"/>
    </xf>
    <xf numFmtId="164" fontId="5" fillId="0" borderId="1" applyAlignment="1" pivotButton="0" quotePrefix="0" xfId="0">
      <alignment vertical="top" wrapText="1"/>
    </xf>
    <xf numFmtId="0" fontId="5" fillId="4" borderId="1" applyAlignment="1" pivotButton="0" quotePrefix="0" xfId="0">
      <alignment vertical="top" wrapText="1"/>
    </xf>
    <xf numFmtId="165" fontId="5" fillId="4" borderId="1" applyAlignment="1" pivotButton="0" quotePrefix="0" xfId="0">
      <alignment vertical="top" wrapText="1"/>
    </xf>
    <xf numFmtId="0" fontId="7" fillId="0" borderId="1" applyAlignment="1" pivotButton="0" quotePrefix="0" xfId="0">
      <alignment horizontal="center" vertical="top"/>
    </xf>
    <xf numFmtId="0" fontId="8" fillId="0" borderId="1" applyAlignment="1" pivotButton="0" quotePrefix="0" xfId="0">
      <alignment horizontal="center" vertical="top"/>
    </xf>
    <xf numFmtId="0" fontId="3" fillId="0" borderId="1" applyAlignment="1" pivotButton="0" quotePrefix="0" xfId="0">
      <alignment vertical="top" wrapText="1"/>
    </xf>
    <xf numFmtId="0" fontId="9" fillId="0" borderId="1" applyAlignment="1" pivotButton="0" quotePrefix="0" xfId="0">
      <alignment horizontal="center" vertical="top"/>
    </xf>
    <xf numFmtId="0" fontId="10" fillId="0" borderId="0" pivotButton="0" quotePrefix="0" xfId="0"/>
    <xf numFmtId="164" fontId="10" fillId="0" borderId="0" pivotButton="0" quotePrefix="0" xfId="0"/>
    <xf numFmtId="0" fontId="11" fillId="0" borderId="0" pivotButton="0" quotePrefix="0" xfId="0"/>
    <xf numFmtId="0" fontId="7" fillId="0" borderId="0" applyAlignment="1" pivotButton="0" quotePrefix="0" xfId="0">
      <alignment vertical="top"/>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Inventory</author>
  </authors>
  <commentList>
    <comment ref="K5" authorId="0" shapeId="0">
      <text>
        <t>Enter the number found in the lab, in the unit shown in 'Count in'.</t>
      </text>
    </comment>
    <comment ref="M5" authorId="0" shapeId="0">
      <text>
        <t>Needed (9 sets) minus Actual count, never below 0. Blank until counted.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mazon.com/dp/B00QEYADRQ" TargetMode="External" Id="rId1" /><Relationship Type="http://schemas.openxmlformats.org/officeDocument/2006/relationships/hyperlink" Target="https://www.amazon.com/dp/B00PNEQKC0" TargetMode="External" Id="rId2" /><Relationship Type="http://schemas.openxmlformats.org/officeDocument/2006/relationships/hyperlink" Target="https://www.amazon.com/dp/B091YDBK1S" TargetMode="External" Id="rId3" /><Relationship Type="http://schemas.openxmlformats.org/officeDocument/2006/relationships/hyperlink" Target="https://www.amazon.com/dp/B077GNZK3J" TargetMode="External" Id="rId4" /><Relationship Type="http://schemas.openxmlformats.org/officeDocument/2006/relationships/hyperlink" Target="https://www.amazon.com/dp/B07BPGYX3G" TargetMode="External" Id="rId5" /><Relationship Type="http://schemas.openxmlformats.org/officeDocument/2006/relationships/hyperlink" Target="https://www.amazon.com/dp/B0CQP4F56W" TargetMode="External" Id="rId6" /><Relationship Type="http://schemas.openxmlformats.org/officeDocument/2006/relationships/hyperlink" Target="https://www.amazon.com/dp/B0CQP2D8FG" TargetMode="External" Id="rId7" /><Relationship Type="http://schemas.openxmlformats.org/officeDocument/2006/relationships/hyperlink" Target="https://www.amazon.com/dp/B0CQNZBJLT" TargetMode="External" Id="rId8" /><Relationship Type="http://schemas.openxmlformats.org/officeDocument/2006/relationships/hyperlink" Target="https://www.amazon.com/dp/B0H152X8XD" TargetMode="External" Id="rId9" /><Relationship Type="http://schemas.openxmlformats.org/officeDocument/2006/relationships/hyperlink" Target="https://www.amazon.com/dp/B0CQP1DT4C" TargetMode="External" Id="rId10" /><Relationship Type="http://schemas.openxmlformats.org/officeDocument/2006/relationships/hyperlink" Target="https://www.amazon.com/dp/B0CQP1N4YL" TargetMode="External" Id="rId11" /><Relationship Type="http://schemas.openxmlformats.org/officeDocument/2006/relationships/hyperlink" Target="https://www.amazon.com/dp/B0CMTB5WHD" TargetMode="External" Id="rId12" /><Relationship Type="http://schemas.openxmlformats.org/officeDocument/2006/relationships/hyperlink" Target="https://www.amazon.com/dp/B07G829LM8" TargetMode="External" Id="rId13" /><Relationship Type="http://schemas.openxmlformats.org/officeDocument/2006/relationships/hyperlink" Target="https://www.amazon.com/dp/B0D54LH4KK" TargetMode="External" Id="rId14" /><Relationship Type="http://schemas.openxmlformats.org/officeDocument/2006/relationships/hyperlink" Target="https://www.amazon.com/dp/B07FDWW9D9" TargetMode="External" Id="rId15" /><Relationship Type="http://schemas.openxmlformats.org/officeDocument/2006/relationships/hyperlink" Target="https://www.amazon.com/dp/B082PYT33D" TargetMode="External" Id="rId16" /><Relationship Type="http://schemas.openxmlformats.org/officeDocument/2006/relationships/hyperlink" Target="https://www.amazon.com/dp/B07FVYHWFC" TargetMode="External" Id="rId17" /><Relationship Type="http://schemas.openxmlformats.org/officeDocument/2006/relationships/hyperlink" Target="https://www.amazon.com/dp/B07TRQ1YZ1" TargetMode="External" Id="rId18" /><Relationship Type="http://schemas.openxmlformats.org/officeDocument/2006/relationships/hyperlink" Target="https://www.amazon.com/dp/B07SHSN6NP" TargetMode="External" Id="rId19" /><Relationship Type="http://schemas.openxmlformats.org/officeDocument/2006/relationships/hyperlink" Target="https://www.amazon.com/dp/B0F3JMXNGV" TargetMode="External" Id="rId20" /><Relationship Type="http://schemas.openxmlformats.org/officeDocument/2006/relationships/hyperlink" Target="https://www.amazon.com/dp/B0F3JRPFSB" TargetMode="External" Id="rId21" /><Relationship Type="http://schemas.openxmlformats.org/officeDocument/2006/relationships/hyperlink" Target="https://www.amazon.com/dp/B07X14TGFX" TargetMode="External" Id="rId22" /><Relationship Type="http://schemas.openxmlformats.org/officeDocument/2006/relationships/hyperlink" Target="https://www.amazon.com/dp/B08BCRZZS3" TargetMode="External" Id="rId23" /><Relationship Type="http://schemas.openxmlformats.org/officeDocument/2006/relationships/hyperlink" Target="https://www.amazon.com/dp/B07YSVXWS8" TargetMode="External" Id="rId24" /><Relationship Type="http://schemas.openxmlformats.org/officeDocument/2006/relationships/hyperlink" Target="https://www.amazon.com/dp/B0FH4JQ3VB" TargetMode="External" Id="rId25" /><Relationship Type="http://schemas.openxmlformats.org/officeDocument/2006/relationships/hyperlink" Target="https://www.amazon.com/dp/B0CP4B16KF" TargetMode="External" Id="rId26" /><Relationship Type="http://schemas.openxmlformats.org/officeDocument/2006/relationships/hyperlink" Target="https://www.amazon.com/dp/B0CP4BLD7Z" TargetMode="External" Id="rId27" /><Relationship Type="http://schemas.openxmlformats.org/officeDocument/2006/relationships/hyperlink" Target="https://www.amazon.com/dp/B0CP4B65CC" TargetMode="External" Id="rId28" /><Relationship Type="http://schemas.openxmlformats.org/officeDocument/2006/relationships/hyperlink" Target="https://www.amazon.com/dp/B0CP48RN8K" TargetMode="External" Id="rId29" /><Relationship Type="http://schemas.openxmlformats.org/officeDocument/2006/relationships/hyperlink" Target="https://www.amazon.com/dp/B0CQNN6NY3" TargetMode="External" Id="rId30" /><Relationship Type="http://schemas.openxmlformats.org/officeDocument/2006/relationships/hyperlink" Target="https://www.amazon.com/dp/B0GJJBQDCD" TargetMode="External" Id="rId31" /><Relationship Type="http://schemas.openxmlformats.org/officeDocument/2006/relationships/hyperlink" Target="https://www.amazon.com/dp/B0GJJKXJG5" TargetMode="External" Id="rId32" /><Relationship Type="http://schemas.openxmlformats.org/officeDocument/2006/relationships/hyperlink" Target="https://www.amazon.com/dp/B0GJJDKQLZ" TargetMode="External" Id="rId33" /><Relationship Type="http://schemas.openxmlformats.org/officeDocument/2006/relationships/hyperlink" Target="https://www.amazon.com/dp/B0DRCBVH8K" TargetMode="External" Id="rId34" /><Relationship Type="http://schemas.openxmlformats.org/officeDocument/2006/relationships/hyperlink" Target="https://www.amazon.com/dp/B0CF299SDT" TargetMode="External" Id="rId35" /><Relationship Type="http://schemas.openxmlformats.org/officeDocument/2006/relationships/hyperlink" Target="https://www.amazon.com/dp/B0DZ5H9T4Z" TargetMode="External" Id="rId36" /><Relationship Type="http://schemas.openxmlformats.org/officeDocument/2006/relationships/hyperlink" Target="https://www.amazon.com/dp/B07TT3C3HB" TargetMode="External" Id="rId37" /><Relationship Type="http://schemas.openxmlformats.org/officeDocument/2006/relationships/hyperlink" Target="https://www.amazon.com/dp/B07BND65C8" TargetMode="External" Id="rId38" /><Relationship Type="http://schemas.openxmlformats.org/officeDocument/2006/relationships/hyperlink" Target="https://www.amazon.com/dp/B0BMM1G74B" TargetMode="External" Id="rId39" /><Relationship Type="http://schemas.openxmlformats.org/officeDocument/2006/relationships/hyperlink" Target="https://www.amazon.com/dp/B0BJQ2QTHG" TargetMode="External" Id="rId40" /><Relationship Type="http://schemas.openxmlformats.org/officeDocument/2006/relationships/hyperlink" Target="https://www.amazon.com/dp/B00MFRMFS6" TargetMode="External" Id="rId41" /><Relationship Type="http://schemas.openxmlformats.org/officeDocument/2006/relationships/hyperlink" Target="https://www.amazon.com/dp/B09G9TBY38" TargetMode="External" Id="rId42" /><Relationship Type="http://schemas.openxmlformats.org/officeDocument/2006/relationships/hyperlink" Target="https://www.amazon.com/dp/B01C8500L8" TargetMode="External" Id="rId43" /><Relationship Type="http://schemas.openxmlformats.org/officeDocument/2006/relationships/hyperlink" Target="https://www.amazon.com/dp/B088TSR6YJ" TargetMode="External" Id="rId44" /><Relationship Type="http://schemas.openxmlformats.org/officeDocument/2006/relationships/hyperlink" Target="https://www.amazon.com/dp/B0BR3M8XHK" TargetMode="External" Id="rId45" /><Relationship Type="http://schemas.openxmlformats.org/officeDocument/2006/relationships/hyperlink" Target="https://www.amazon.com/dp/B07SMNZK8H" TargetMode="External" Id="rId46" /><Relationship Type="http://schemas.openxmlformats.org/officeDocument/2006/relationships/hyperlink" Target="https://www.amazon.com/dp/B0B2WLSY9D" TargetMode="External" Id="rId47" /><Relationship Type="http://schemas.openxmlformats.org/officeDocument/2006/relationships/hyperlink" Target="https://www.amazon.com/dp/B0CYPVMK9J" TargetMode="External" Id="rId48" /><Relationship Type="http://schemas.openxmlformats.org/officeDocument/2006/relationships/hyperlink" Target="https://www.amazon.com/dp/B07H9X7XVN" TargetMode="External" Id="rId49" /><Relationship Type="http://schemas.openxmlformats.org/officeDocument/2006/relationships/hyperlink" Target="https://www.amazon.com/dp/B07GD2BWPY" TargetMode="External" Id="rId50" /><Relationship Type="http://schemas.openxmlformats.org/officeDocument/2006/relationships/hyperlink" Target="https://www.amazon.com/dp/B07GD3JVHD" TargetMode="External" Id="rId51" /><Relationship Type="http://schemas.openxmlformats.org/officeDocument/2006/relationships/hyperlink" Target="https://www.amazon.com/dp/B01EV70C78" TargetMode="External" Id="rId52" /><Relationship Type="http://schemas.openxmlformats.org/officeDocument/2006/relationships/hyperlink" Target="https://www.amazon.com/dp/B07TX6BX47" TargetMode="External" Id="rId53" /><Relationship Type="http://schemas.openxmlformats.org/officeDocument/2006/relationships/hyperlink" Target="https://www.amazon.com/dp/B0793NGKL9" TargetMode="External" Id="rId54" /><Relationship Type="http://schemas.openxmlformats.org/officeDocument/2006/relationships/hyperlink" Target="https://www.amazon.com/dp/B0C2Y3VSVB" TargetMode="External" Id="rId55" /><Relationship Type="http://schemas.openxmlformats.org/officeDocument/2006/relationships/hyperlink" Target="https://www.amazon.com/dp/B08KZKGWTJ" TargetMode="External" Id="rId56" /><Relationship Type="http://schemas.openxmlformats.org/officeDocument/2006/relationships/hyperlink" Target="https://www.amazon.com/dp/B08FD1XVL6" TargetMode="External" Id="rId57" /><Relationship Type="http://schemas.openxmlformats.org/officeDocument/2006/relationships/hyperlink" Target="https://www.amazon.com/dp/B0006O4AD8" TargetMode="External" Id="rId58" /><Relationship Type="http://schemas.openxmlformats.org/officeDocument/2006/relationships/hyperlink" Target="https://www.amazon.com/dp/B01ISAMUA6" TargetMode="External" Id="rId59" /><Relationship Type="http://schemas.openxmlformats.org/officeDocument/2006/relationships/hyperlink" Target="https://www.amazon.com/dp/B07DFFYCXS" TargetMode="External" Id="rId60" /><Relationship Type="http://schemas.openxmlformats.org/officeDocument/2006/relationships/hyperlink" Target="https://www.amazon.com/dp/B08ZS76VDG" TargetMode="External" Id="rId61" /><Relationship Type="http://schemas.openxmlformats.org/officeDocument/2006/relationships/hyperlink" Target="https://www.amazon.com/dp/B073YG65N2" TargetMode="External" Id="rId62" /><Relationship Type="http://schemas.openxmlformats.org/officeDocument/2006/relationships/hyperlink" Target="https://www.amazon.com/dp/B075WB98FJ" TargetMode="External" Id="rId63" /><Relationship Type="http://schemas.openxmlformats.org/officeDocument/2006/relationships/hyperlink" Target="https://www.amazon.com/dp/B08FQBS97L" TargetMode="External" Id="rId64" /><Relationship Type="http://schemas.openxmlformats.org/officeDocument/2006/relationships/hyperlink" Target="https://www.amazon.com/dp/B07G847G75" TargetMode="External" Id="rId65" /><Relationship Type="http://schemas.openxmlformats.org/officeDocument/2006/relationships/hyperlink" Target="https://www.amazon.com/dp/B07FVZKBKX" TargetMode="External" Id="rId66" /><Relationship Type="http://schemas.openxmlformats.org/officeDocument/2006/relationships/hyperlink" Target="https://www.amazon.com/dp/B07TNNX9YX" TargetMode="External" Id="rId67" /><Relationship Type="http://schemas.openxmlformats.org/officeDocument/2006/relationships/hyperlink" Target="https://www.amazon.com/dp/B0DCP3V3B5" TargetMode="External" Id="rId68" /><Relationship Type="http://schemas.openxmlformats.org/officeDocument/2006/relationships/hyperlink" Target="https://www.amazon.com/dp/B0F3JPNX6R" TargetMode="External" Id="rId69" /><Relationship Type="http://schemas.openxmlformats.org/officeDocument/2006/relationships/hyperlink" Target="https://www.amazon.com/dp/B07YSV66Y5" TargetMode="External" Id="rId70" /><Relationship Type="http://schemas.openxmlformats.org/officeDocument/2006/relationships/hyperlink" Target="https://www.amazon.com/dp/B0CQNPWSG4" TargetMode="External" Id="rId7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N81"/>
  <sheetViews>
    <sheetView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6" customWidth="1" min="2" max="2"/>
    <col width="13" customWidth="1" min="3" max="3"/>
    <col width="22" customWidth="1" min="4" max="4"/>
    <col width="9" customWidth="1" min="5" max="5"/>
    <col width="10" customWidth="1" min="6" max="6"/>
    <col width="48" customWidth="1" min="7" max="7"/>
    <col width="9" customWidth="1" min="8" max="8"/>
    <col width="10" customWidth="1" min="9" max="9"/>
    <col width="12" customWidth="1" min="10" max="10"/>
    <col width="10" customWidth="1" min="11" max="11"/>
    <col width="12" customWidth="1" min="12" max="12"/>
    <col width="9" customWidth="1" min="13" max="13"/>
    <col width="46" customWidth="1" min="14" max="14"/>
  </cols>
  <sheetData>
    <row r="1">
      <c r="A1" s="1" t="inlineStr">
        <is>
          <t>Smart Prosthetics and Robotic Systems (14:125:444) — Parts Inventory</t>
        </is>
      </c>
    </row>
    <row r="2">
      <c r="A2" s="2" t="inlineStr">
        <is>
          <t>Instructor: Dr. Adam Gormley · Source: Amazon Business orders 10/27/2025–10/27/2026 (Spring 2026 offering) · Sizing: 9 sets for Spring 2027 (8 teams of 5 + 1 spare)</t>
        </is>
      </c>
    </row>
    <row r="3" ht="30" customHeight="1">
      <c r="A3" s="3" t="inlineStr">
        <is>
          <t>HOW TO USE: count the lab stock and type it in the yellow 'Actual count' column (count in the unit shown in 'Count in'), then add the date counted. 'To order' fills in by itself. Example: three unopened 5-packs of motors plus 2 loose = 17.</t>
        </is>
      </c>
    </row>
    <row r="4"/>
    <row r="5">
      <c r="A5" s="4" t="inlineStr">
        <is>
          <t>Section</t>
        </is>
      </c>
      <c r="B5" s="4" t="inlineStr">
        <is>
          <t>Item</t>
        </is>
      </c>
      <c r="C5" s="4" t="inlineStr">
        <is>
          <t>ASIN</t>
        </is>
      </c>
      <c r="D5" s="4" t="inlineStr">
        <is>
          <t>Bought (as ordered)</t>
        </is>
      </c>
      <c r="E5" s="4" t="inlineStr">
        <is>
          <t>Units bought</t>
        </is>
      </c>
      <c r="F5" s="4" t="inlineStr">
        <is>
          <t>Spent ($)</t>
        </is>
      </c>
      <c r="G5" s="4" t="inlineStr">
        <is>
          <t>CAD part / use</t>
        </is>
      </c>
      <c r="H5" s="4" t="inlineStr">
        <is>
          <t>Per arm</t>
        </is>
      </c>
      <c r="I5" s="4" t="inlineStr">
        <is>
          <t>Needed (9 sets)</t>
        </is>
      </c>
      <c r="J5" s="4" t="inlineStr">
        <is>
          <t>Count in</t>
        </is>
      </c>
      <c r="K5" s="5" t="inlineStr">
        <is>
          <t>Actual count</t>
        </is>
      </c>
      <c r="L5" s="5" t="inlineStr">
        <is>
          <t>Date counted</t>
        </is>
      </c>
      <c r="M5" s="4" t="inlineStr">
        <is>
          <t>To order</t>
        </is>
      </c>
      <c r="N5" s="4" t="inlineStr">
        <is>
          <t>Notes</t>
        </is>
      </c>
    </row>
    <row r="6">
      <c r="A6" s="6" t="inlineStr">
        <is>
          <t>Arm: motors and drive</t>
        </is>
      </c>
      <c r="B6" s="6" t="inlineStr">
        <is>
          <t>STEPPERONLINE NEMA17 2 A, 84 oz·in, 48 mm body (5-pack)</t>
        </is>
      </c>
      <c r="C6" s="7" t="inlineStr">
        <is>
          <t>B00QEYADRQ</t>
        </is>
      </c>
      <c r="D6" s="6" t="inlineStr">
        <is>
          <t>5 packs = 25</t>
        </is>
      </c>
      <c r="E6" s="6" t="n">
        <v>25</v>
      </c>
      <c r="F6" s="8" t="n">
        <v>274.95</v>
      </c>
      <c r="G6" s="6" t="inlineStr">
        <is>
          <t>purchased/nema17.py: J1, J2, J3</t>
        </is>
      </c>
      <c r="H6" s="6" t="n">
        <v>3</v>
      </c>
      <c r="I6" s="6" t="n">
        <v>27</v>
      </c>
      <c r="J6" s="6" t="inlineStr">
        <is>
          <t>units</t>
        </is>
      </c>
      <c r="K6" s="9" t="n"/>
      <c r="L6" s="10" t="n"/>
      <c r="M6" s="11">
        <f>IF(K6="","",MAX(0,I6-K6))</f>
        <v/>
      </c>
      <c r="N6" s="6" t="inlineStr"/>
    </row>
    <row r="7">
      <c r="A7" s="6" t="inlineStr">
        <is>
          <t>Arm: motors and drive</t>
        </is>
      </c>
      <c r="B7" s="6" t="inlineStr">
        <is>
          <t>STEPPERONLINE NEMA17 2 A, 48 mm, with 1 m cable (single)</t>
        </is>
      </c>
      <c r="C7" s="7" t="inlineStr">
        <is>
          <t>B00PNEQKC0</t>
        </is>
      </c>
      <c r="D7" s="6" t="inlineStr">
        <is>
          <t>4</t>
        </is>
      </c>
      <c r="E7" s="6" t="n">
        <v>4</v>
      </c>
      <c r="F7" s="8" t="n">
        <v>55.8</v>
      </c>
      <c r="G7" s="6" t="inlineStr">
        <is>
          <t>Same motor, ordered singly (spares)</t>
        </is>
      </c>
      <c r="H7" s="6" t="n"/>
      <c r="I7" s="6" t="n"/>
      <c r="J7" s="6" t="inlineStr">
        <is>
          <t>units</t>
        </is>
      </c>
      <c r="K7" s="9" t="n"/>
      <c r="L7" s="10" t="n"/>
      <c r="M7" s="12" t="inlineStr">
        <is>
          <t>—</t>
        </is>
      </c>
      <c r="N7" s="6" t="inlineStr"/>
    </row>
    <row r="8">
      <c r="A8" s="6" t="inlineStr">
        <is>
          <t>Arm: motors and drive</t>
        </is>
      </c>
      <c r="B8" s="6" t="inlineStr">
        <is>
          <t>STEPPERONLINE NEMA17 pancake, 1 A, 16 N·cm, 20 mm body (5-pack)</t>
        </is>
      </c>
      <c r="C8" s="7" t="inlineStr">
        <is>
          <t>B091YDBK1S</t>
        </is>
      </c>
      <c r="D8" s="6" t="inlineStr">
        <is>
          <t>3 packs = 15</t>
        </is>
      </c>
      <c r="E8" s="6" t="n">
        <v>15</v>
      </c>
      <c r="F8" s="8" t="n">
        <v>118.5</v>
      </c>
      <c r="G8" s="6" t="inlineStr">
        <is>
          <t>purchased/nema17_pancake.py: J4 motor on segment 2. It's lighter, and J4 needs less torque (design.md I‑18)</t>
        </is>
      </c>
      <c r="H8" s="6" t="n">
        <v>1</v>
      </c>
      <c r="I8" s="6" t="n">
        <v>9</v>
      </c>
      <c r="J8" s="6" t="inlineStr">
        <is>
          <t>units</t>
        </is>
      </c>
      <c r="K8" s="9" t="n"/>
      <c r="L8" s="10" t="n"/>
      <c r="M8" s="11">
        <f>IF(K8="","",MAX(0,I8-K8))</f>
        <v/>
      </c>
      <c r="N8" s="6" t="inlineStr"/>
    </row>
    <row r="9">
      <c r="A9" s="6" t="inlineStr">
        <is>
          <t>Arm: motors and drive</t>
        </is>
      </c>
      <c r="B9" s="6" t="inlineStr">
        <is>
          <t>WINSINN GT2 20T pulley, 5 mm bore, 6 mm belt (5-pack)</t>
        </is>
      </c>
      <c r="C9" s="7" t="inlineStr">
        <is>
          <t>B077GNZK3J</t>
        </is>
      </c>
      <c r="D9" s="6" t="inlineStr">
        <is>
          <t>4 packs = 20</t>
        </is>
      </c>
      <c r="E9" s="6" t="n">
        <v>20</v>
      </c>
      <c r="F9" s="8" t="n">
        <v>23.52</v>
      </c>
      <c r="G9" s="6" t="inlineStr">
        <is>
          <t>purchased/gt2_pulley_20t.py: motor pulleys (J1, J3, J4)</t>
        </is>
      </c>
      <c r="H9" s="6" t="n">
        <v>3</v>
      </c>
      <c r="I9" s="6" t="n">
        <v>27</v>
      </c>
      <c r="J9" s="6" t="inlineStr">
        <is>
          <t>units</t>
        </is>
      </c>
      <c r="K9" s="9" t="n"/>
      <c r="L9" s="10" t="n"/>
      <c r="M9" s="11">
        <f>IF(K9="","",MAX(0,I9-K9))</f>
        <v/>
      </c>
      <c r="N9" s="6" t="inlineStr"/>
    </row>
    <row r="10">
      <c r="A10" s="6" t="inlineStr">
        <is>
          <t>Arm: motors and drive</t>
        </is>
      </c>
      <c r="B10" s="6" t="inlineStr">
        <is>
          <t>WINSINN GT2 20T idler, 5 mm bore (5-pack)</t>
        </is>
      </c>
      <c r="C10" s="7" t="inlineStr">
        <is>
          <t>B07BPGYX3G</t>
        </is>
      </c>
      <c r="D10" s="6" t="inlineStr">
        <is>
          <t>6 packs = 30</t>
        </is>
      </c>
      <c r="E10" s="6" t="n">
        <v>30</v>
      </c>
      <c r="F10" s="8" t="n">
        <v>47.28</v>
      </c>
      <c r="G10" s="6" t="inlineStr">
        <is>
          <t>purchased/gt2_idler_20t.py: arm idlers, 2 per segment</t>
        </is>
      </c>
      <c r="H10" s="6" t="n">
        <v>4</v>
      </c>
      <c r="I10" s="6" t="n">
        <v>36</v>
      </c>
      <c r="J10" s="6" t="inlineStr">
        <is>
          <t>units</t>
        </is>
      </c>
      <c r="K10" s="9" t="n"/>
      <c r="L10" s="10" t="n"/>
      <c r="M10" s="11">
        <f>IF(K10="","",MAX(0,I10-K10))</f>
        <v/>
      </c>
      <c r="N10" s="6" t="inlineStr"/>
    </row>
    <row r="11">
      <c r="A11" s="6" t="inlineStr">
        <is>
          <t>Arm: motors and drive</t>
        </is>
      </c>
      <c r="B11" s="6" t="inlineStr">
        <is>
          <t>Zeelo GT2 6 mm closed belt, 280 mm (10-pack)</t>
        </is>
      </c>
      <c r="C11" s="7" t="inlineStr">
        <is>
          <t>B0CQP4F56W</t>
        </is>
      </c>
      <c r="D11" s="6" t="inlineStr">
        <is>
          <t>2 packs = 20</t>
        </is>
      </c>
      <c r="E11" s="6" t="n">
        <v>20</v>
      </c>
      <c r="F11" s="8" t="n">
        <v>29.98</v>
      </c>
      <c r="G11" s="6" t="inlineStr">
        <is>
          <t>Segment belts, 2 per segment (274.4 mm loop, design.md §4)</t>
        </is>
      </c>
      <c r="H11" s="6" t="n">
        <v>4</v>
      </c>
      <c r="I11" s="6" t="n">
        <v>36</v>
      </c>
      <c r="J11" s="6" t="inlineStr">
        <is>
          <t>units</t>
        </is>
      </c>
      <c r="K11" s="9" t="n"/>
      <c r="L11" s="10" t="n"/>
      <c r="M11" s="11">
        <f>IF(K11="","",MAX(0,I11-K11))</f>
        <v/>
      </c>
      <c r="N11" s="6" t="inlineStr"/>
    </row>
    <row r="12">
      <c r="A12" s="6" t="inlineStr">
        <is>
          <t>Arm: motors and drive</t>
        </is>
      </c>
      <c r="B12" s="6" t="inlineStr">
        <is>
          <t>Zeelo GT2 6 mm closed belt, 320 mm (10-pack)</t>
        </is>
      </c>
      <c r="C12" s="7" t="inlineStr">
        <is>
          <t>B0CQP2D8FG</t>
        </is>
      </c>
      <c r="D12" s="6" t="inlineStr">
        <is>
          <t>1 pack = 10</t>
        </is>
      </c>
      <c r="E12" s="6" t="n">
        <v>10</v>
      </c>
      <c r="F12" s="8" t="n">
        <v>14.99</v>
      </c>
      <c r="G12" s="6" t="inlineStr">
        <is>
          <t>Not a CAD length: probably J1 trials</t>
        </is>
      </c>
      <c r="H12" s="6" t="n"/>
      <c r="I12" s="6" t="n"/>
      <c r="J12" s="6" t="inlineStr">
        <is>
          <t>units</t>
        </is>
      </c>
      <c r="K12" s="9" t="n"/>
      <c r="L12" s="10" t="n"/>
      <c r="M12" s="12" t="inlineStr">
        <is>
          <t>—</t>
        </is>
      </c>
      <c r="N12" s="6" t="inlineStr"/>
    </row>
    <row r="13">
      <c r="A13" s="6" t="inlineStr">
        <is>
          <t>Arm: motors and drive</t>
        </is>
      </c>
      <c r="B13" s="6" t="inlineStr">
        <is>
          <t>Zeelo GT2 6 mm closed belt, 350 mm (10-pack)</t>
        </is>
      </c>
      <c r="C13" s="7" t="inlineStr">
        <is>
          <t>B0CQNZBJLT</t>
        </is>
      </c>
      <c r="D13" s="6" t="inlineStr">
        <is>
          <t>1 pack = 10</t>
        </is>
      </c>
      <c r="E13" s="6" t="n">
        <v>10</v>
      </c>
      <c r="F13" s="8" t="n">
        <v>15.99</v>
      </c>
      <c r="G13" s="6" t="inlineStr">
        <is>
          <t>J1 belt (Spring 2026 build; see note)</t>
        </is>
      </c>
      <c r="H13" s="6" t="n">
        <v>1</v>
      </c>
      <c r="I13" s="6" t="n">
        <v>9</v>
      </c>
      <c r="J13" s="6" t="inlineStr">
        <is>
          <t>units</t>
        </is>
      </c>
      <c r="K13" s="9" t="n"/>
      <c r="L13" s="10" t="n"/>
      <c r="M13" s="11">
        <f>IF(K13="","",MAX(0,I13-K13))</f>
        <v/>
      </c>
      <c r="N13" s="6" t="inlineStr"/>
    </row>
    <row r="14">
      <c r="A14" s="6" t="inlineStr">
        <is>
          <t>1. Arm: motors and drive</t>
        </is>
      </c>
      <c r="B14" s="13" t="inlineStr">
        <is>
          <t>GT2 6 mm closed belt, 370 mm (185 T), J1 — TO ORDER</t>
        </is>
      </c>
      <c r="C14" s="7" t="inlineStr">
        <is>
          <t>B0H152X8XD</t>
        </is>
      </c>
      <c r="D14" s="6" t="inlineStr">
        <is>
          <t>Not bought yet</t>
        </is>
      </c>
      <c r="E14" s="6" t="n">
        <v>0</v>
      </c>
      <c r="F14" s="8" t="n"/>
      <c r="G14" s="6" t="inlineStr">
        <is>
          <t>J1 belt (design.md §2, I-14, I-19); 372 mm also gives full J1 travel</t>
        </is>
      </c>
      <c r="H14" s="6" t="n">
        <v>1</v>
      </c>
      <c r="I14" s="6" t="n">
        <v>9</v>
      </c>
      <c r="J14" s="6" t="inlineStr">
        <is>
          <t>units</t>
        </is>
      </c>
      <c r="K14" s="9" t="n"/>
      <c r="L14" s="10" t="n"/>
      <c r="M14" s="11">
        <f>IF(K14="","",MAX(0,I14-K14))</f>
        <v/>
      </c>
      <c r="N14" s="6" t="inlineStr">
        <is>
          <t>Suggested listing is a 10-pack; select 370 mm and 6 mm width. Alternates on the Notes sheet</t>
        </is>
      </c>
    </row>
    <row r="15">
      <c r="A15" s="6" t="inlineStr">
        <is>
          <t>Arm: motors and drive</t>
        </is>
      </c>
      <c r="B15" s="6" t="inlineStr">
        <is>
          <t>Zeelo GT2 6 mm closed belt, 500 mm (4-pack)</t>
        </is>
      </c>
      <c r="C15" s="7" t="inlineStr">
        <is>
          <t>B0CQP1DT4C</t>
        </is>
      </c>
      <c r="D15" s="6" t="inlineStr">
        <is>
          <t>4</t>
        </is>
      </c>
      <c r="E15" s="6" t="n">
        <v>4</v>
      </c>
      <c r="F15" s="8" t="n">
        <v>14.99</v>
      </c>
      <c r="G15" s="6" t="inlineStr">
        <is>
          <t>Not in CAD</t>
        </is>
      </c>
      <c r="H15" s="6" t="n"/>
      <c r="I15" s="6" t="n"/>
      <c r="J15" s="6" t="inlineStr">
        <is>
          <t>units</t>
        </is>
      </c>
      <c r="K15" s="9" t="n"/>
      <c r="L15" s="10" t="n"/>
      <c r="M15" s="12" t="inlineStr">
        <is>
          <t>—</t>
        </is>
      </c>
      <c r="N15" s="6" t="inlineStr"/>
    </row>
    <row r="16">
      <c r="A16" s="6" t="inlineStr">
        <is>
          <t>Arm: motors and drive</t>
        </is>
      </c>
      <c r="B16" s="6" t="inlineStr">
        <is>
          <t>Zeelo GT2 6 mm closed belt, 760 mm (4-pack)</t>
        </is>
      </c>
      <c r="C16" s="7" t="inlineStr">
        <is>
          <t>B0CQP1N4YL</t>
        </is>
      </c>
      <c r="D16" s="6" t="inlineStr">
        <is>
          <t>4</t>
        </is>
      </c>
      <c r="E16" s="6" t="n">
        <v>4</v>
      </c>
      <c r="F16" s="8" t="n">
        <v>14.99</v>
      </c>
      <c r="G16" s="6" t="inlineStr">
        <is>
          <t>Not in CAD</t>
        </is>
      </c>
      <c r="H16" s="6" t="n"/>
      <c r="I16" s="6" t="n"/>
      <c r="J16" s="6" t="inlineStr">
        <is>
          <t>units</t>
        </is>
      </c>
      <c r="K16" s="9" t="n"/>
      <c r="L16" s="10" t="n"/>
      <c r="M16" s="12" t="inlineStr">
        <is>
          <t>—</t>
        </is>
      </c>
      <c r="N16" s="6" t="inlineStr"/>
    </row>
    <row r="17">
      <c r="A17" s="6" t="inlineStr">
        <is>
          <t>Arm: motors and drive</t>
        </is>
      </c>
      <c r="B17" s="6" t="inlineStr">
        <is>
          <t>uxcell GT2 6 mm closed belt, 600 mm (2-pack)</t>
        </is>
      </c>
      <c r="C17" s="7" t="inlineStr">
        <is>
          <t>B0CMTB5WHD</t>
        </is>
      </c>
      <c r="D17" s="6" t="inlineStr">
        <is>
          <t>2</t>
        </is>
      </c>
      <c r="E17" s="6" t="n">
        <v>2</v>
      </c>
      <c r="F17" s="8" t="n">
        <v>7.68</v>
      </c>
      <c r="G17" s="6" t="inlineStr">
        <is>
          <t>Not in CAD</t>
        </is>
      </c>
      <c r="H17" s="6" t="n"/>
      <c r="I17" s="6" t="n"/>
      <c r="J17" s="6" t="inlineStr">
        <is>
          <t>units</t>
        </is>
      </c>
      <c r="K17" s="9" t="n"/>
      <c r="L17" s="10" t="n"/>
      <c r="M17" s="12" t="inlineStr">
        <is>
          <t>—</t>
        </is>
      </c>
      <c r="N17" s="6" t="inlineStr"/>
    </row>
    <row r="18">
      <c r="A18" s="6" t="inlineStr">
        <is>
          <t>Arm: bearings, pins and bushings</t>
        </is>
      </c>
      <c r="B18" s="6" t="inlineStr">
        <is>
          <t>uxcell 51108 thrust bearing 40×60×13 (2-pack)</t>
        </is>
      </c>
      <c r="C18" s="7" t="inlineStr">
        <is>
          <t>B07G829LM8</t>
        </is>
      </c>
      <c r="D18" s="6" t="inlineStr">
        <is>
          <t>8 packs = 16</t>
        </is>
      </c>
      <c r="E18" s="6" t="n">
        <v>16</v>
      </c>
      <c r="F18" s="8" t="n">
        <v>77.73999999999999</v>
      </c>
      <c r="G18" s="6" t="inlineStr">
        <is>
          <t>purchased/thrust_bearing_51108.py: J1 (×2)</t>
        </is>
      </c>
      <c r="H18" s="6" t="n">
        <v>2</v>
      </c>
      <c r="I18" s="6" t="n">
        <v>18</v>
      </c>
      <c r="J18" s="6" t="inlineStr">
        <is>
          <t>units</t>
        </is>
      </c>
      <c r="K18" s="9" t="n"/>
      <c r="L18" s="10" t="n"/>
      <c r="M18" s="11">
        <f>IF(K18="","",MAX(0,I18-K18))</f>
        <v/>
      </c>
      <c r="N18" s="6" t="inlineStr"/>
    </row>
    <row r="19">
      <c r="A19" s="6" t="inlineStr">
        <is>
          <t>Arm: bearings, pins and bushings</t>
        </is>
      </c>
      <c r="B19" s="6" t="inlineStr">
        <is>
          <t>uxcell 6807-2RS 35×47×7 (10-pack)</t>
        </is>
      </c>
      <c r="C19" s="7" t="inlineStr">
        <is>
          <t>B0D54LH4KK</t>
        </is>
      </c>
      <c r="D19" s="6" t="inlineStr">
        <is>
          <t>10</t>
        </is>
      </c>
      <c r="E19" s="6" t="n">
        <v>10</v>
      </c>
      <c r="F19" s="8" t="n">
        <v>15.69</v>
      </c>
      <c r="G19" s="6" t="inlineStr">
        <is>
          <t>purchased/bearing_6807.py: box top (J1)</t>
        </is>
      </c>
      <c r="H19" s="6" t="n">
        <v>1</v>
      </c>
      <c r="I19" s="6" t="n">
        <v>9</v>
      </c>
      <c r="J19" s="6" t="inlineStr">
        <is>
          <t>units</t>
        </is>
      </c>
      <c r="K19" s="9" t="n"/>
      <c r="L19" s="10" t="n"/>
      <c r="M19" s="11">
        <f>IF(K19="","",MAX(0,I19-K19))</f>
        <v/>
      </c>
      <c r="N19" s="6" t="inlineStr"/>
    </row>
    <row r="20">
      <c r="A20" s="6" t="inlineStr">
        <is>
          <t>Arm: bearings, pins and bushings</t>
        </is>
      </c>
      <c r="B20" s="6" t="inlineStr">
        <is>
          <t>uxcell 608-2RS 8×22×7 (8-pack)</t>
        </is>
      </c>
      <c r="C20" s="7" t="inlineStr">
        <is>
          <t>B07FDWW9D9</t>
        </is>
      </c>
      <c r="D20" s="6" t="inlineStr">
        <is>
          <t>2 packs = 16</t>
        </is>
      </c>
      <c r="E20" s="6" t="n">
        <v>16</v>
      </c>
      <c r="F20" s="8" t="n">
        <v>13.54</v>
      </c>
      <c r="G20" s="6" t="inlineStr">
        <is>
          <t>purchased/bearing_608.py: J1 pulley hub (box bottom)</t>
        </is>
      </c>
      <c r="H20" s="6" t="n">
        <v>1</v>
      </c>
      <c r="I20" s="6" t="n">
        <v>9</v>
      </c>
      <c r="J20" s="6" t="inlineStr">
        <is>
          <t>units</t>
        </is>
      </c>
      <c r="K20" s="9" t="n"/>
      <c r="L20" s="10" t="n"/>
      <c r="M20" s="11">
        <f>IF(K20="","",MAX(0,I20-K20))</f>
        <v/>
      </c>
      <c r="N20" s="6" t="inlineStr"/>
    </row>
    <row r="21">
      <c r="A21" s="6" t="inlineStr">
        <is>
          <t>Arm: bearings, pins and bushings</t>
        </is>
      </c>
      <c r="B21" s="6" t="inlineStr">
        <is>
          <t>uxcell 6805-2RS 25×37×7 (10-pack)</t>
        </is>
      </c>
      <c r="C21" s="7" t="inlineStr">
        <is>
          <t>B082PYT33D</t>
        </is>
      </c>
      <c r="D21" s="6" t="inlineStr">
        <is>
          <t>7 packs = 70</t>
        </is>
      </c>
      <c r="E21" s="6" t="n">
        <v>70</v>
      </c>
      <c r="F21" s="8" t="n">
        <v>87.62</v>
      </c>
      <c r="G21" s="6" t="inlineStr">
        <is>
          <t>purchased/bearing_6805.py: hinge (×2), gearbox front cover, arm J3 (×2 per segment)</t>
        </is>
      </c>
      <c r="H21" s="6" t="n">
        <v>7</v>
      </c>
      <c r="I21" s="6" t="n">
        <v>63</v>
      </c>
      <c r="J21" s="6" t="inlineStr">
        <is>
          <t>units</t>
        </is>
      </c>
      <c r="K21" s="9" t="n"/>
      <c r="L21" s="10" t="n"/>
      <c r="M21" s="11">
        <f>IF(K21="","",MAX(0,I21-K21))</f>
        <v/>
      </c>
      <c r="N21" s="6" t="inlineStr"/>
    </row>
    <row r="22">
      <c r="A22" s="6" t="inlineStr">
        <is>
          <t>Arm: bearings, pins and bushings</t>
        </is>
      </c>
      <c r="B22" s="6" t="inlineStr">
        <is>
          <t>uxcell 6801-2RS 12×21×5 (10-pack)</t>
        </is>
      </c>
      <c r="C22" s="7" t="inlineStr">
        <is>
          <t>B07FVYHWFC</t>
        </is>
      </c>
      <c r="D22" s="6" t="inlineStr">
        <is>
          <t>2 packs = 20</t>
        </is>
      </c>
      <c r="E22" s="6" t="n">
        <v>20</v>
      </c>
      <c r="F22" s="8" t="n">
        <v>18.16</v>
      </c>
      <c r="G22" s="6" t="inlineStr">
        <is>
          <t>purchased/bearing_6801.py: gearbox (×2)</t>
        </is>
      </c>
      <c r="H22" s="6" t="n">
        <v>2</v>
      </c>
      <c r="I22" s="6" t="n">
        <v>18</v>
      </c>
      <c r="J22" s="6" t="inlineStr">
        <is>
          <t>units</t>
        </is>
      </c>
      <c r="K22" s="9" t="n"/>
      <c r="L22" s="10" t="n"/>
      <c r="M22" s="11">
        <f>IF(K22="","",MAX(0,I22-K22))</f>
        <v/>
      </c>
      <c r="N22" s="6" t="inlineStr"/>
    </row>
    <row r="23">
      <c r="A23" s="6" t="inlineStr">
        <is>
          <t>Arm: bearings, pins and bushings</t>
        </is>
      </c>
      <c r="B23" s="6" t="inlineStr">
        <is>
          <t>uxcell 6803-2RS 17×26×5 (5-pack)</t>
        </is>
      </c>
      <c r="C23" s="7" t="inlineStr">
        <is>
          <t>B07TRQ1YZ1</t>
        </is>
      </c>
      <c r="D23" s="6" t="inlineStr">
        <is>
          <t>6 packs = 30</t>
        </is>
      </c>
      <c r="E23" s="6" t="n">
        <v>30</v>
      </c>
      <c r="F23" s="8" t="n">
        <v>45.88</v>
      </c>
      <c r="G23" s="6" t="inlineStr">
        <is>
          <t>purchased/bearing_6803.py: gearbox back cover</t>
        </is>
      </c>
      <c r="H23" s="6" t="n">
        <v>1</v>
      </c>
      <c r="I23" s="6" t="n">
        <v>9</v>
      </c>
      <c r="J23" s="6" t="inlineStr">
        <is>
          <t>units</t>
        </is>
      </c>
      <c r="K23" s="9" t="n"/>
      <c r="L23" s="10" t="n"/>
      <c r="M23" s="11">
        <f>IF(K23="","",MAX(0,I23-K23))</f>
        <v/>
      </c>
      <c r="N23" s="6" t="inlineStr"/>
    </row>
    <row r="24">
      <c r="A24" s="6" t="inlineStr">
        <is>
          <t>Arm: bearings, pins and bushings</t>
        </is>
      </c>
      <c r="B24" s="6" t="inlineStr">
        <is>
          <t>uxcell sleeve bushing 6×8×10 (10-pack)</t>
        </is>
      </c>
      <c r="C24" s="7" t="inlineStr">
        <is>
          <t>B07SHSN6NP</t>
        </is>
      </c>
      <c r="D24" s="6" t="inlineStr">
        <is>
          <t>12 packs = 120</t>
        </is>
      </c>
      <c r="E24" s="6" t="n">
        <v>120</v>
      </c>
      <c r="F24" s="8" t="n">
        <v>60.25</v>
      </c>
      <c r="G24" s="6" t="inlineStr">
        <is>
          <t>purchased/bushing_6x8x10.py: planets (×6), dual pulley (×2 per segment)</t>
        </is>
      </c>
      <c r="H24" s="6" t="n">
        <v>10</v>
      </c>
      <c r="I24" s="6" t="n">
        <v>90</v>
      </c>
      <c r="J24" s="6" t="inlineStr">
        <is>
          <t>units</t>
        </is>
      </c>
      <c r="K24" s="9" t="n"/>
      <c r="L24" s="10" t="n"/>
      <c r="M24" s="11">
        <f>IF(K24="","",MAX(0,I24-K24))</f>
        <v/>
      </c>
      <c r="N24" s="6" t="inlineStr"/>
    </row>
    <row r="25">
      <c r="A25" s="6" t="inlineStr">
        <is>
          <t>Arm: bearings, pins and bushings</t>
        </is>
      </c>
      <c r="B25" s="6" t="inlineStr">
        <is>
          <t>uxcell 6×22 mm dowel pin, 304 SS (30-pack)</t>
        </is>
      </c>
      <c r="C25" s="7" t="inlineStr">
        <is>
          <t>B0F3JMXNGV</t>
        </is>
      </c>
      <c r="D25" s="6" t="inlineStr">
        <is>
          <t>3 packs = 90</t>
        </is>
      </c>
      <c r="E25" s="6" t="n">
        <v>90</v>
      </c>
      <c r="F25" s="8" t="n">
        <v>24.07</v>
      </c>
      <c r="G25" s="6" t="inlineStr">
        <is>
          <t>purchased/planet_pin_6x22.py: planet pins (×6)</t>
        </is>
      </c>
      <c r="H25" s="6" t="n">
        <v>6</v>
      </c>
      <c r="I25" s="6" t="n">
        <v>54</v>
      </c>
      <c r="J25" s="6" t="inlineStr">
        <is>
          <t>units</t>
        </is>
      </c>
      <c r="K25" s="9" t="n"/>
      <c r="L25" s="10" t="n"/>
      <c r="M25" s="11">
        <f>IF(K25="","",MAX(0,I25-K25))</f>
        <v/>
      </c>
      <c r="N25" s="6" t="inlineStr"/>
    </row>
    <row r="26">
      <c r="A26" s="6" t="inlineStr">
        <is>
          <t>Arm: bearings, pins and bushings</t>
        </is>
      </c>
      <c r="B26" s="6" t="inlineStr">
        <is>
          <t>uxcell 6×30 mm dowel pin, 304 SS (30-pack)</t>
        </is>
      </c>
      <c r="C26" s="7" t="inlineStr">
        <is>
          <t>B0F3JRPFSB</t>
        </is>
      </c>
      <c r="D26" s="6" t="inlineStr">
        <is>
          <t>3 packs = 90</t>
        </is>
      </c>
      <c r="E26" s="6" t="n">
        <v>90</v>
      </c>
      <c r="F26" s="8" t="n">
        <v>27.6</v>
      </c>
      <c r="G26" s="6" t="inlineStr">
        <is>
          <t>purchased/dowel_pin_6x30.py: dual-pulley axle (×1 per segment)</t>
        </is>
      </c>
      <c r="H26" s="6" t="n">
        <v>2</v>
      </c>
      <c r="I26" s="6" t="n">
        <v>18</v>
      </c>
      <c r="J26" s="6" t="inlineStr">
        <is>
          <t>units</t>
        </is>
      </c>
      <c r="K26" s="9" t="n"/>
      <c r="L26" s="10" t="n"/>
      <c r="M26" s="11">
        <f>IF(K26="","",MAX(0,I26-K26))</f>
        <v/>
      </c>
      <c r="N26" s="6" t="inlineStr"/>
    </row>
    <row r="27">
      <c r="A27" s="6" t="inlineStr">
        <is>
          <t>Arm: bearings, pins and bushings</t>
        </is>
      </c>
      <c r="B27" s="6" t="inlineStr">
        <is>
          <t>M6 flat washer, 6×12×1.5, 304 SS (200-pack)</t>
        </is>
      </c>
      <c r="C27" s="7" t="inlineStr">
        <is>
          <t>B07X14TGFX</t>
        </is>
      </c>
      <c r="D27" s="6" t="inlineStr">
        <is>
          <t>200</t>
        </is>
      </c>
      <c r="E27" s="6" t="n">
        <v>200</v>
      </c>
      <c r="F27" s="8" t="n">
        <v>9.460000000000001</v>
      </c>
      <c r="G27" s="6" t="inlineStr">
        <is>
          <t>purchased/washer_6.py: 2 per planet (CAD stand-in 6.2×11.8×1.3)</t>
        </is>
      </c>
      <c r="H27" s="6" t="n">
        <v>12</v>
      </c>
      <c r="I27" s="6" t="n">
        <v>108</v>
      </c>
      <c r="J27" s="6" t="inlineStr">
        <is>
          <t>units</t>
        </is>
      </c>
      <c r="K27" s="9" t="n"/>
      <c r="L27" s="10" t="n"/>
      <c r="M27" s="11">
        <f>IF(K27="","",MAX(0,I27-K27))</f>
        <v/>
      </c>
      <c r="N27" s="6" t="inlineStr"/>
    </row>
    <row r="28">
      <c r="A28" s="6" t="inlineStr">
        <is>
          <t>Arm: fasteners and threaded inserts (consumables)</t>
        </is>
      </c>
      <c r="B28" s="6" t="inlineStr">
        <is>
          <t>ruthex M3 × 5.7 heat-set insert (100-pack)</t>
        </is>
      </c>
      <c r="C28" s="7" t="inlineStr">
        <is>
          <t>B08BCRZZS3</t>
        </is>
      </c>
      <c r="D28" s="6" t="inlineStr">
        <is>
          <t>6 packs = 600</t>
        </is>
      </c>
      <c r="E28" s="6" t="n">
        <v>600</v>
      </c>
      <c r="F28" s="8" t="n">
        <v>58.44</v>
      </c>
      <c r="G28" s="6" t="inlineStr">
        <is>
          <t>FIT.insert_m3: ring gear (12), carrier plates (6), Wall (9 per segment), Base/Top proximal (4 per segment). Back cover: M3 × 4, next row (I-22)</t>
        </is>
      </c>
      <c r="H28" s="6" t="n">
        <v>44</v>
      </c>
      <c r="I28" s="6" t="n">
        <v>396</v>
      </c>
      <c r="J28" s="6" t="inlineStr">
        <is>
          <t>units</t>
        </is>
      </c>
      <c r="K28" s="9" t="n"/>
      <c r="L28" s="10" t="n"/>
      <c r="M28" s="11">
        <f>IF(K28="","",MAX(0,I28-K28))</f>
        <v/>
      </c>
      <c r="N28" s="6" t="inlineStr">
        <is>
          <t>Approximate (~44 per arm)</t>
        </is>
      </c>
    </row>
    <row r="29">
      <c r="A29" s="6" t="inlineStr">
        <is>
          <t>Arm: fasteners and threaded inserts (consumables)</t>
        </is>
      </c>
      <c r="B29" s="13" t="inlineStr">
        <is>
          <t>ruthex M3S × 4.0 short heat-set insert (100-pack) — TO ORDER</t>
        </is>
      </c>
      <c r="C29" s="7" t="inlineStr">
        <is>
          <t>—</t>
        </is>
      </c>
      <c r="D29" s="6" t="inlineStr">
        <is>
          <t>Not bought yet</t>
        </is>
      </c>
      <c r="E29" s="6" t="n">
        <v>0</v>
      </c>
      <c r="F29" s="8" t="n"/>
      <c r="G29" s="6" t="inlineStr">
        <is>
          <t>FIT.insert_m3: back cover, NEMA17 mount (4); 4.5 mm holes leave 2.5 mm over the carrier recess (design.md I-22)</t>
        </is>
      </c>
      <c r="H29" s="6" t="n">
        <v>4</v>
      </c>
      <c r="I29" s="6" t="n">
        <v>36</v>
      </c>
      <c r="J29" s="6" t="inlineStr">
        <is>
          <t>units</t>
        </is>
      </c>
      <c r="K29" s="9" t="n"/>
      <c r="L29" s="10" t="n"/>
      <c r="M29" s="11">
        <f>IF(K29="","",MAX(0,I29-K29))</f>
        <v/>
      </c>
      <c r="N29" s="6" t="inlineStr">
        <is>
          <t>Not on Amazon: 3DJake US, ruthex GE-M3Sx40-002 (EAN 4260528721238). Same knurl as M3 × 5.7 (Ø4.6, Ø4.0 hole). Screws: M3 × 14 (not 16)</t>
        </is>
      </c>
    </row>
    <row r="30">
      <c r="A30" s="6" t="inlineStr">
        <is>
          <t>Arm: fasteners and threaded inserts (consumables)</t>
        </is>
      </c>
      <c r="B30" s="6" t="inlineStr">
        <is>
          <t>ruthex M5 × 9.5 heat-set insert (50-pack)</t>
        </is>
      </c>
      <c r="C30" s="7" t="inlineStr">
        <is>
          <t>B07YSVXWS8</t>
        </is>
      </c>
      <c r="D30" s="6" t="inlineStr">
        <is>
          <t>50</t>
        </is>
      </c>
      <c r="E30" s="6" t="n">
        <v>50</v>
      </c>
      <c r="F30" s="8" t="n">
        <v>9.99</v>
      </c>
      <c r="G30" s="6" t="inlineStr">
        <is>
          <t>FIT.insert_m5: box bottom (7)</t>
        </is>
      </c>
      <c r="H30" s="6" t="n">
        <v>7</v>
      </c>
      <c r="I30" s="6" t="n">
        <v>63</v>
      </c>
      <c r="J30" s="6" t="inlineStr">
        <is>
          <t>units</t>
        </is>
      </c>
      <c r="K30" s="9" t="n"/>
      <c r="L30" s="10" t="n"/>
      <c r="M30" s="11">
        <f>IF(K30="","",MAX(0,I30-K30))</f>
        <v/>
      </c>
      <c r="N30" s="6" t="inlineStr"/>
    </row>
    <row r="31">
      <c r="A31" s="6" t="inlineStr">
        <is>
          <t>Arm: fasteners and threaded inserts (consumables)</t>
        </is>
      </c>
      <c r="B31" s="6" t="inlineStr">
        <is>
          <t>FFVRVSS brass insert assortment M2–M5 (328 pc) with heat-set tool</t>
        </is>
      </c>
      <c r="C31" s="7" t="inlineStr">
        <is>
          <t>B0FH4JQ3VB</t>
        </is>
      </c>
      <c r="D31" s="6" t="inlineStr">
        <is>
          <t>1 kit</t>
        </is>
      </c>
      <c r="E31" s="6" t="n"/>
      <c r="F31" s="8" t="n">
        <v>6.92</v>
      </c>
      <c r="G31" s="6" t="inlineStr">
        <is>
          <t>Insert tips for soldering irons; spare inserts</t>
        </is>
      </c>
      <c r="H31" s="6" t="n"/>
      <c r="I31" s="6" t="n"/>
      <c r="J31" s="6" t="inlineStr">
        <is>
          <t>kits</t>
        </is>
      </c>
      <c r="K31" s="9" t="n"/>
      <c r="L31" s="10" t="n"/>
      <c r="M31" s="12" t="inlineStr">
        <is>
          <t>—</t>
        </is>
      </c>
      <c r="N31" s="6" t="inlineStr"/>
    </row>
    <row r="32">
      <c r="A32" s="6" t="inlineStr">
        <is>
          <t>Arm: fasteners and threaded inserts (consumables)</t>
        </is>
      </c>
      <c r="B32" s="6" t="inlineStr">
        <is>
          <t>iexcell M3 × 8 button head, 12.9 (100-pack)</t>
        </is>
      </c>
      <c r="C32" s="7" t="inlineStr">
        <is>
          <t>B0CP4B16KF</t>
        </is>
      </c>
      <c r="D32" s="6" t="inlineStr">
        <is>
          <t>2 packs = 200</t>
        </is>
      </c>
      <c r="E32" s="6" t="n">
        <v>200</v>
      </c>
      <c r="F32" s="8" t="n">
        <v>17.72</v>
      </c>
      <c r="G32" s="6" t="inlineStr">
        <is>
          <t>M3 screws (lengths not recorded)</t>
        </is>
      </c>
      <c r="H32" s="6" t="n">
        <v>75</v>
      </c>
      <c r="I32" s="6" t="n">
        <v>675</v>
      </c>
      <c r="J32" s="6" t="inlineStr">
        <is>
          <t>units</t>
        </is>
      </c>
      <c r="K32" s="9" t="n"/>
      <c r="L32" s="10" t="n"/>
      <c r="M32" s="11">
        <f>IF(COUNT(K32,K33,K34,K35)=0,"",MAX(0,I32-SUM(K32,K33,K34,K35)))</f>
        <v/>
      </c>
      <c r="N32" s="6" t="inlineStr">
        <is>
          <t>Need covers all M3 button heads (8, 10, 12, 16 mm) together; to-order compares it with the four rows' counts</t>
        </is>
      </c>
    </row>
    <row r="33">
      <c r="A33" s="6" t="inlineStr">
        <is>
          <t>Arm: fasteners and threaded inserts (consumables)</t>
        </is>
      </c>
      <c r="B33" s="6" t="inlineStr">
        <is>
          <t>iexcell M3 × 10 button head, 12.9 (100-pack)</t>
        </is>
      </c>
      <c r="C33" s="7" t="inlineStr">
        <is>
          <t>B0CP4BLD7Z</t>
        </is>
      </c>
      <c r="D33" s="6" t="inlineStr">
        <is>
          <t>100</t>
        </is>
      </c>
      <c r="E33" s="6" t="n">
        <v>100</v>
      </c>
      <c r="F33" s="8" t="n">
        <v>8.859999999999999</v>
      </c>
      <c r="G33" s="6" t="inlineStr">
        <is>
          <t>M3 screws (lengths not recorded)</t>
        </is>
      </c>
      <c r="H33" s="6" t="inlineStr">
        <is>
          <t>(shared, see first row)</t>
        </is>
      </c>
      <c r="I33" s="6" t="inlineStr">
        <is>
          <t>(shared, see first row)</t>
        </is>
      </c>
      <c r="J33" s="6" t="inlineStr">
        <is>
          <t>units</t>
        </is>
      </c>
      <c r="K33" s="9" t="n"/>
      <c r="L33" s="10" t="n"/>
      <c r="M33" s="14" t="inlineStr">
        <is>
          <t>see first row</t>
        </is>
      </c>
      <c r="N33" s="6" t="inlineStr"/>
    </row>
    <row r="34">
      <c r="A34" s="6" t="inlineStr">
        <is>
          <t>Arm: fasteners and threaded inserts (consumables)</t>
        </is>
      </c>
      <c r="B34" s="6" t="inlineStr">
        <is>
          <t>iexcell M3 × 12 button head, 12.9 (100-pack)</t>
        </is>
      </c>
      <c r="C34" s="7" t="inlineStr">
        <is>
          <t>B0CP4B65CC</t>
        </is>
      </c>
      <c r="D34" s="6" t="inlineStr">
        <is>
          <t>2 packs = 200</t>
        </is>
      </c>
      <c r="E34" s="6" t="n">
        <v>200</v>
      </c>
      <c r="F34" s="8" t="n">
        <v>17.72</v>
      </c>
      <c r="G34" s="6" t="inlineStr">
        <is>
          <t>M3 screws (lengths not recorded)</t>
        </is>
      </c>
      <c r="H34" s="6" t="inlineStr">
        <is>
          <t>(shared, see first row)</t>
        </is>
      </c>
      <c r="I34" s="6" t="inlineStr">
        <is>
          <t>(shared, see first row)</t>
        </is>
      </c>
      <c r="J34" s="6" t="inlineStr">
        <is>
          <t>units</t>
        </is>
      </c>
      <c r="K34" s="9" t="n"/>
      <c r="L34" s="10" t="n"/>
      <c r="M34" s="14" t="inlineStr">
        <is>
          <t>see first row</t>
        </is>
      </c>
      <c r="N34" s="6" t="inlineStr"/>
    </row>
    <row r="35">
      <c r="A35" s="6" t="inlineStr">
        <is>
          <t>Arm: fasteners and threaded inserts (consumables)</t>
        </is>
      </c>
      <c r="B35" s="6" t="inlineStr">
        <is>
          <t>iexcell M3 × 16 button head, 12.9 (100-pack)</t>
        </is>
      </c>
      <c r="C35" s="7" t="inlineStr">
        <is>
          <t>B0CP48RN8K</t>
        </is>
      </c>
      <c r="D35" s="6" t="inlineStr">
        <is>
          <t>2 packs = 200</t>
        </is>
      </c>
      <c r="E35" s="6" t="n">
        <v>200</v>
      </c>
      <c r="F35" s="8" t="n">
        <v>17.92</v>
      </c>
      <c r="G35" s="6" t="inlineStr">
        <is>
          <t>M3 screws (lengths not recorded)</t>
        </is>
      </c>
      <c r="H35" s="6" t="inlineStr">
        <is>
          <t>(shared, see first row)</t>
        </is>
      </c>
      <c r="I35" s="6" t="inlineStr">
        <is>
          <t>(shared, see first row)</t>
        </is>
      </c>
      <c r="J35" s="6" t="inlineStr">
        <is>
          <t>units</t>
        </is>
      </c>
      <c r="K35" s="9" t="n"/>
      <c r="L35" s="10" t="n"/>
      <c r="M35" s="14" t="inlineStr">
        <is>
          <t>see first row</t>
        </is>
      </c>
      <c r="N35" s="6" t="inlineStr"/>
    </row>
    <row r="36">
      <c r="A36" s="6" t="inlineStr">
        <is>
          <t>Arm: fasteners and threaded inserts (consumables)</t>
        </is>
      </c>
      <c r="B36" s="6" t="inlineStr">
        <is>
          <t>Kadrick M3 assortment, 4–35 mm, with nuts and washers (2240 pc)</t>
        </is>
      </c>
      <c r="C36" s="7" t="inlineStr">
        <is>
          <t>B0CQNN6NY3</t>
        </is>
      </c>
      <c r="D36" s="6" t="inlineStr">
        <is>
          <t>1 kit</t>
        </is>
      </c>
      <c r="E36" s="6" t="n"/>
      <c r="F36" s="8" t="n">
        <v>22.99</v>
      </c>
      <c r="G36" s="6" t="inlineStr">
        <is>
          <t>Includes M3 × 35 for the idler jack screws (purchased/socket_head_m3x35.py, 2 per segment)</t>
        </is>
      </c>
      <c r="H36" s="6" t="n">
        <v>4</v>
      </c>
      <c r="I36" s="6" t="n">
        <v>36</v>
      </c>
      <c r="J36" s="6" t="inlineStr">
        <is>
          <t>M3 × 35 screws</t>
        </is>
      </c>
      <c r="K36" s="9" t="n"/>
      <c r="L36" s="10" t="n"/>
      <c r="M36" s="11">
        <f>IF(K36="","",MAX(0,I36-K36))</f>
        <v/>
      </c>
      <c r="N36" s="6" t="inlineStr">
        <is>
          <t>Count the M3 × 35 socket heads left in the kit</t>
        </is>
      </c>
    </row>
    <row r="37">
      <c r="A37" s="6" t="inlineStr">
        <is>
          <t>Arm: fasteners and threaded inserts (consumables)</t>
        </is>
      </c>
      <c r="B37" s="6" t="inlineStr">
        <is>
          <t>M5 × 40 button head, black oxide SS (25-pack)</t>
        </is>
      </c>
      <c r="C37" s="7" t="inlineStr">
        <is>
          <t>B0GJJBQDCD</t>
        </is>
      </c>
      <c r="D37" s="6" t="inlineStr">
        <is>
          <t>2 packs = 50</t>
        </is>
      </c>
      <c r="E37" s="6" t="n">
        <v>50</v>
      </c>
      <c r="F37" s="8" t="n">
        <v>17.36</v>
      </c>
      <c r="G37" s="6" t="inlineStr">
        <is>
          <t>purchased/button_head_m5x40.py: idler axles (2 per segment)</t>
        </is>
      </c>
      <c r="H37" s="6" t="n">
        <v>4</v>
      </c>
      <c r="I37" s="6" t="n">
        <v>36</v>
      </c>
      <c r="J37" s="6" t="inlineStr">
        <is>
          <t>units</t>
        </is>
      </c>
      <c r="K37" s="9" t="n"/>
      <c r="L37" s="10" t="n"/>
      <c r="M37" s="11">
        <f>IF(K37="","",MAX(0,I37-K37))</f>
        <v/>
      </c>
      <c r="N37" s="6" t="inlineStr"/>
    </row>
    <row r="38">
      <c r="A38" s="6" t="inlineStr">
        <is>
          <t>Arm: fasteners and threaded inserts (consumables)</t>
        </is>
      </c>
      <c r="B38" s="6" t="inlineStr">
        <is>
          <t>M5 × 45 button head (25-pack)</t>
        </is>
      </c>
      <c r="C38" s="7" t="inlineStr">
        <is>
          <t>B0GJJKXJG5</t>
        </is>
      </c>
      <c r="D38" s="6" t="inlineStr">
        <is>
          <t>25</t>
        </is>
      </c>
      <c r="E38" s="6" t="n">
        <v>25</v>
      </c>
      <c r="F38" s="8" t="n">
        <v>8.68</v>
      </c>
      <c r="G38" s="6" t="inlineStr">
        <is>
          <t>Probably the J1 pulley–hinge clamp (4 × M5, length not recorded)</t>
        </is>
      </c>
      <c r="H38" s="6" t="n">
        <v>4</v>
      </c>
      <c r="I38" s="6" t="n">
        <v>36</v>
      </c>
      <c r="J38" s="6" t="inlineStr">
        <is>
          <t>units</t>
        </is>
      </c>
      <c r="K38" s="9" t="n"/>
      <c r="L38" s="10" t="n"/>
      <c r="M38" s="11">
        <f>IF(COUNT(K38,K39)=0,"",MAX(0,I38-SUM(K38,K39)))</f>
        <v/>
      </c>
      <c r="N38" s="6" t="inlineStr">
        <is>
          <t>J1 pulley–hinge clamp length not recorded: need covers M5 × 45 and M5 × 50 together</t>
        </is>
      </c>
    </row>
    <row r="39">
      <c r="A39" s="6" t="inlineStr">
        <is>
          <t>Arm: fasteners and threaded inserts (consumables)</t>
        </is>
      </c>
      <c r="B39" s="6" t="inlineStr">
        <is>
          <t>M5 × 50 button head (25-pack)</t>
        </is>
      </c>
      <c r="C39" s="7" t="inlineStr">
        <is>
          <t>B0GJJDKQLZ</t>
        </is>
      </c>
      <c r="D39" s="6" t="inlineStr">
        <is>
          <t>25</t>
        </is>
      </c>
      <c r="E39" s="6" t="n">
        <v>25</v>
      </c>
      <c r="F39" s="8" t="n">
        <v>8.68</v>
      </c>
      <c r="G39" s="6" t="inlineStr">
        <is>
          <t>Probably the J1 pulley–hinge clamp (4 × M5, length not recorded)</t>
        </is>
      </c>
      <c r="H39" s="6" t="inlineStr">
        <is>
          <t>(shared, see first row)</t>
        </is>
      </c>
      <c r="I39" s="6" t="inlineStr">
        <is>
          <t>(shared, see first row)</t>
        </is>
      </c>
      <c r="J39" s="6" t="inlineStr">
        <is>
          <t>units</t>
        </is>
      </c>
      <c r="K39" s="9" t="n"/>
      <c r="L39" s="10" t="n"/>
      <c r="M39" s="14" t="inlineStr">
        <is>
          <t>see first row</t>
        </is>
      </c>
      <c r="N39" s="6" t="inlineStr"/>
    </row>
    <row r="40">
      <c r="A40" s="6" t="inlineStr">
        <is>
          <t>Arm: fasteners and threaded inserts (consumables)</t>
        </is>
      </c>
      <c r="B40" s="6" t="inlineStr">
        <is>
          <t>Kadrick M5 assortment, 8–40 mm, with nuts and washers (960 pc)</t>
        </is>
      </c>
      <c r="C40" s="7" t="inlineStr">
        <is>
          <t>B0DRCBVH8K</t>
        </is>
      </c>
      <c r="D40" s="6" t="inlineStr">
        <is>
          <t>1 kit</t>
        </is>
      </c>
      <c r="E40" s="6" t="n"/>
      <c r="F40" s="8" t="n">
        <v>22.99</v>
      </c>
      <c r="G40" s="6" t="inlineStr">
        <is>
          <t>Box top–bottom screws (7), M5 nuts for the idler axles (purchased/hex_nut_m5.py, 2 per segment)</t>
        </is>
      </c>
      <c r="H40" s="6" t="n">
        <v>7</v>
      </c>
      <c r="I40" s="6" t="n">
        <v>63</v>
      </c>
      <c r="J40" s="6" t="inlineStr">
        <is>
          <t>M5 screws</t>
        </is>
      </c>
      <c r="K40" s="9" t="n"/>
      <c r="L40" s="10" t="n"/>
      <c r="M40" s="11">
        <f>IF(K40="","",MAX(0,I40-K40))</f>
        <v/>
      </c>
      <c r="N40" s="6" t="inlineStr">
        <is>
          <t>Also supplies the idler-axle M5 nuts: 4 per arm, 36 for 9 sets (count those too)</t>
        </is>
      </c>
    </row>
    <row r="41">
      <c r="A41" s="6" t="inlineStr">
        <is>
          <t>Arm: fasteners and threaded inserts (consumables)</t>
        </is>
      </c>
      <c r="B41" s="6" t="inlineStr">
        <is>
          <t>ZDingTech M4 × 5 set screw (110-pack)</t>
        </is>
      </c>
      <c r="C41" s="7" t="inlineStr">
        <is>
          <t>B0CF299SDT</t>
        </is>
      </c>
      <c r="D41" s="6" t="inlineStr">
        <is>
          <t>110</t>
        </is>
      </c>
      <c r="E41" s="6" t="n">
        <v>110</v>
      </c>
      <c r="F41" s="8" t="n">
        <v>6.69</v>
      </c>
      <c r="G41" s="6" t="inlineStr">
        <is>
          <t>Probably the gearbox input-shaft set screw (Ø4 cross hole)</t>
        </is>
      </c>
      <c r="H41" s="6" t="n">
        <v>1</v>
      </c>
      <c r="I41" s="6" t="n">
        <v>9</v>
      </c>
      <c r="J41" s="6" t="inlineStr">
        <is>
          <t>units</t>
        </is>
      </c>
      <c r="K41" s="9" t="n"/>
      <c r="L41" s="10" t="n"/>
      <c r="M41" s="11">
        <f>IF(K41="","",MAX(0,I41-K41))</f>
        <v/>
      </c>
      <c r="N41" s="6" t="inlineStr"/>
    </row>
    <row r="42">
      <c r="A42" s="6" t="inlineStr">
        <is>
          <t>Arm: fasteners and threaded inserts (consumables)</t>
        </is>
      </c>
      <c r="B42" s="6" t="inlineStr">
        <is>
          <t>304 SS flat washer assortment M2–M12 (1100 pc)</t>
        </is>
      </c>
      <c r="C42" s="7" t="inlineStr">
        <is>
          <t>B0DZ5H9T4Z</t>
        </is>
      </c>
      <c r="D42" s="6" t="inlineStr">
        <is>
          <t>1 kit</t>
        </is>
      </c>
      <c r="E42" s="6" t="n"/>
      <c r="F42" s="8" t="n">
        <v>6.99</v>
      </c>
      <c r="G42" s="6" t="inlineStr">
        <is>
          <t>General</t>
        </is>
      </c>
      <c r="H42" s="6" t="n"/>
      <c r="I42" s="6" t="n"/>
      <c r="J42" s="6" t="inlineStr">
        <is>
          <t>kits</t>
        </is>
      </c>
      <c r="K42" s="9" t="n"/>
      <c r="L42" s="10" t="n"/>
      <c r="M42" s="12" t="inlineStr">
        <is>
          <t>—</t>
        </is>
      </c>
      <c r="N42" s="6" t="inlineStr"/>
    </row>
    <row r="43">
      <c r="A43" s="6" t="inlineStr">
        <is>
          <t>Electronics</t>
        </is>
      </c>
      <c r="B43" s="6" t="inlineStr">
        <is>
          <t>Arduino Uno Q</t>
        </is>
      </c>
      <c r="C43" s="6" t="inlineStr">
        <is>
          <t>—</t>
        </is>
      </c>
      <c r="D43" s="6" t="inlineStr">
        <is>
          <t>Arduino store (not Amazon): fill in</t>
        </is>
      </c>
      <c r="E43" s="6" t="n"/>
      <c r="F43" s="8" t="n"/>
      <c r="G43" s="6" t="inlineStr">
        <is>
          <t>Controller</t>
        </is>
      </c>
      <c r="H43" s="6" t="n">
        <v>1</v>
      </c>
      <c r="I43" s="6" t="n">
        <v>9</v>
      </c>
      <c r="J43" s="6" t="inlineStr">
        <is>
          <t>units</t>
        </is>
      </c>
      <c r="K43" s="9" t="n"/>
      <c r="L43" s="10" t="n"/>
      <c r="M43" s="11">
        <f>IF(K43="","",MAX(0,I43-K43))</f>
        <v/>
      </c>
      <c r="N43" s="6" t="inlineStr"/>
    </row>
    <row r="44">
      <c r="A44" s="6" t="inlineStr">
        <is>
          <t>Electronics</t>
        </is>
      </c>
      <c r="B44" s="6" t="inlineStr">
        <is>
          <t>ACEIRMC CNC Shield V3 kit with 4 × A4988 and heat sinks</t>
        </is>
      </c>
      <c r="C44" s="7" t="inlineStr">
        <is>
          <t>B07TT3C3HB</t>
        </is>
      </c>
      <c r="D44" s="6" t="inlineStr">
        <is>
          <t>6 kits (6 shields, 24 A4988)</t>
        </is>
      </c>
      <c r="E44" s="6" t="n">
        <v>6</v>
      </c>
      <c r="F44" s="8" t="n">
        <v>58.14</v>
      </c>
      <c r="G44" s="6" t="inlineStr">
        <is>
          <t>Drives the 4 steppers (UNO header). Check that it fits the Uno Q</t>
        </is>
      </c>
      <c r="H44" s="6" t="n">
        <v>1</v>
      </c>
      <c r="I44" s="6" t="n">
        <v>9</v>
      </c>
      <c r="J44" s="6" t="inlineStr">
        <is>
          <t>shields</t>
        </is>
      </c>
      <c r="K44" s="9" t="n"/>
      <c r="L44" s="10" t="n"/>
      <c r="M44" s="11">
        <f>IF(K44="","",MAX(0,I44-K44))</f>
        <v/>
      </c>
      <c r="N44" s="6" t="inlineStr"/>
    </row>
    <row r="45">
      <c r="A45" s="6" t="inlineStr">
        <is>
          <t>Electronics</t>
        </is>
      </c>
      <c r="B45" s="6" t="inlineStr">
        <is>
          <t>HiLetgo A4988 driver with heat sink (5-pack)</t>
        </is>
      </c>
      <c r="C45" s="7" t="inlineStr">
        <is>
          <t>B07BND65C8</t>
        </is>
      </c>
      <c r="D45" s="6" t="inlineStr">
        <is>
          <t>3 packs = 15</t>
        </is>
      </c>
      <c r="E45" s="6" t="n">
        <v>15</v>
      </c>
      <c r="F45" s="8" t="n">
        <v>29.04</v>
      </c>
      <c r="G45" s="6" t="inlineStr">
        <is>
          <t>Phase 1 breadboard wiring; spares for the shields</t>
        </is>
      </c>
      <c r="H45" s="6" t="n"/>
      <c r="I45" s="6" t="n"/>
      <c r="J45" s="6" t="inlineStr">
        <is>
          <t>units</t>
        </is>
      </c>
      <c r="K45" s="9" t="n"/>
      <c r="L45" s="10" t="n"/>
      <c r="M45" s="12" t="inlineStr">
        <is>
          <t>—</t>
        </is>
      </c>
      <c r="N45" s="6" t="inlineStr"/>
    </row>
    <row r="46">
      <c r="A46" s="6" t="inlineStr">
        <is>
          <t>Electronics</t>
        </is>
      </c>
      <c r="B46" s="6" t="inlineStr">
        <is>
          <t>MG996R metal-gear servo (6-pack)</t>
        </is>
      </c>
      <c r="C46" s="7" t="inlineStr">
        <is>
          <t>B0BMM1G74B</t>
        </is>
      </c>
      <c r="D46" s="6" t="inlineStr">
        <is>
          <t>6</t>
        </is>
      </c>
      <c r="E46" s="6" t="n">
        <v>6</v>
      </c>
      <c r="F46" s="8" t="n">
        <v>26.98</v>
      </c>
      <c r="G46" s="6" t="inlineStr">
        <is>
          <t>Handout SERVO_PIN; gripper/end effector</t>
        </is>
      </c>
      <c r="H46" s="6" t="n">
        <v>1</v>
      </c>
      <c r="I46" s="6" t="n">
        <v>9</v>
      </c>
      <c r="J46" s="6" t="inlineStr">
        <is>
          <t>units</t>
        </is>
      </c>
      <c r="K46" s="9" t="n"/>
      <c r="L46" s="10" t="n"/>
      <c r="M46" s="11">
        <f>IF(K46="","",MAX(0,I46-K46))</f>
        <v/>
      </c>
      <c r="N46" s="6" t="inlineStr"/>
    </row>
    <row r="47">
      <c r="A47" s="6" t="inlineStr">
        <is>
          <t>Electronics</t>
        </is>
      </c>
      <c r="B47" s="6" t="inlineStr">
        <is>
          <t>SG90 9 g micro servo (5-pack)</t>
        </is>
      </c>
      <c r="C47" s="7" t="inlineStr">
        <is>
          <t>B0BJQ2QTHG</t>
        </is>
      </c>
      <c r="D47" s="6" t="inlineStr">
        <is>
          <t>5</t>
        </is>
      </c>
      <c r="E47" s="6" t="n">
        <v>5</v>
      </c>
      <c r="F47" s="8" t="n">
        <v>9.98</v>
      </c>
      <c r="G47" s="6" t="inlineStr">
        <is>
          <t>Light-duty servo (handout §2 table)</t>
        </is>
      </c>
      <c r="H47" s="6" t="n"/>
      <c r="I47" s="6" t="n"/>
      <c r="J47" s="6" t="inlineStr">
        <is>
          <t>units</t>
        </is>
      </c>
      <c r="K47" s="9" t="n"/>
      <c r="L47" s="10" t="n"/>
      <c r="M47" s="12" t="inlineStr">
        <is>
          <t>—</t>
        </is>
      </c>
      <c r="N47" s="6" t="inlineStr"/>
    </row>
    <row r="48">
      <c r="A48" s="6" t="inlineStr">
        <is>
          <t>Electronics</t>
        </is>
      </c>
      <c r="B48" s="6" t="inlineStr">
        <is>
          <t>URBEST roller-lever micro switch, SPDT (10-pack)</t>
        </is>
      </c>
      <c r="C48" s="7" t="inlineStr">
        <is>
          <t>B00MFRMFS6</t>
        </is>
      </c>
      <c r="D48" s="6" t="inlineStr">
        <is>
          <t>4 packs = 40</t>
        </is>
      </c>
      <c r="E48" s="6" t="n">
        <v>40</v>
      </c>
      <c r="F48" s="8" t="n">
        <v>27.96</v>
      </c>
      <c r="G48" s="6" t="inlineStr">
        <is>
          <t>Handout LIMIT_SWITCH_PIN; joint homing</t>
        </is>
      </c>
      <c r="H48" s="6" t="n">
        <v>4</v>
      </c>
      <c r="I48" s="6" t="n">
        <v>36</v>
      </c>
      <c r="J48" s="6" t="inlineStr">
        <is>
          <t>units</t>
        </is>
      </c>
      <c r="K48" s="9" t="n"/>
      <c r="L48" s="10" t="n"/>
      <c r="M48" s="11">
        <f>IF(K48="","",MAX(0,I48-K48))</f>
        <v/>
      </c>
      <c r="N48" s="6" t="inlineStr"/>
    </row>
    <row r="49">
      <c r="A49" s="6" t="inlineStr">
        <is>
          <t>Electronics</t>
        </is>
      </c>
      <c r="B49" s="6" t="inlineStr">
        <is>
          <t>Flutesan 10 kΩ trim potentiometer with knob (12 pc)</t>
        </is>
      </c>
      <c r="C49" s="7" t="inlineStr">
        <is>
          <t>B09G9TBY38</t>
        </is>
      </c>
      <c r="D49" s="6" t="inlineStr">
        <is>
          <t>12</t>
        </is>
      </c>
      <c r="E49" s="6" t="n">
        <v>12</v>
      </c>
      <c r="F49" s="8" t="n">
        <v>7.99</v>
      </c>
      <c r="G49" s="6" t="inlineStr">
        <is>
          <t>Handout POT_PIN</t>
        </is>
      </c>
      <c r="H49" s="6" t="n">
        <v>1</v>
      </c>
      <c r="I49" s="6" t="n">
        <v>9</v>
      </c>
      <c r="J49" s="6" t="inlineStr">
        <is>
          <t>units</t>
        </is>
      </c>
      <c r="K49" s="9" t="n"/>
      <c r="L49" s="10" t="n"/>
      <c r="M49" s="11">
        <f>IF(K49="","",MAX(0,I49-K49))</f>
        <v/>
      </c>
      <c r="N49" s="6" t="inlineStr"/>
    </row>
    <row r="50">
      <c r="A50" s="6" t="inlineStr">
        <is>
          <t>Electronics</t>
        </is>
      </c>
      <c r="B50" s="6" t="inlineStr">
        <is>
          <t>Geekworm UNO case, clear ABS</t>
        </is>
      </c>
      <c r="C50" s="7" t="inlineStr">
        <is>
          <t>B01C8500L8</t>
        </is>
      </c>
      <c r="D50" s="6" t="inlineStr">
        <is>
          <t>5</t>
        </is>
      </c>
      <c r="E50" s="6" t="n">
        <v>5</v>
      </c>
      <c r="F50" s="8" t="n">
        <v>25</v>
      </c>
      <c r="G50" s="6" t="inlineStr">
        <is>
          <t>Controller enclosure</t>
        </is>
      </c>
      <c r="H50" s="6" t="n">
        <v>1</v>
      </c>
      <c r="I50" s="6" t="n">
        <v>9</v>
      </c>
      <c r="J50" s="6" t="inlineStr">
        <is>
          <t>units</t>
        </is>
      </c>
      <c r="K50" s="9" t="n"/>
      <c r="L50" s="10" t="n"/>
      <c r="M50" s="11">
        <f>IF(K50="","",MAX(0,I50-K50))</f>
        <v/>
      </c>
      <c r="N50" s="6" t="inlineStr"/>
    </row>
    <row r="51">
      <c r="A51" s="6" t="inlineStr">
        <is>
          <t>Electronics</t>
        </is>
      </c>
      <c r="B51" s="6" t="inlineStr">
        <is>
          <t>NexiGo N60 1080p webcam</t>
        </is>
      </c>
      <c r="C51" s="7" t="inlineStr">
        <is>
          <t>B088TSR6YJ</t>
        </is>
      </c>
      <c r="D51" s="6" t="inlineStr">
        <is>
          <t>5</t>
        </is>
      </c>
      <c r="E51" s="6" t="n">
        <v>5</v>
      </c>
      <c r="F51" s="8" t="n">
        <v>124.95</v>
      </c>
      <c r="G51" s="6" t="inlineStr">
        <is>
          <t>Machine vision (Phase 3)</t>
        </is>
      </c>
      <c r="H51" s="6" t="n">
        <v>1</v>
      </c>
      <c r="I51" s="6" t="n">
        <v>9</v>
      </c>
      <c r="J51" s="6" t="inlineStr">
        <is>
          <t>units</t>
        </is>
      </c>
      <c r="K51" s="9" t="n"/>
      <c r="L51" s="10" t="n"/>
      <c r="M51" s="11">
        <f>IF(K51="","",MAX(0,I51-K51))</f>
        <v/>
      </c>
      <c r="N51" s="6" t="inlineStr"/>
    </row>
    <row r="52">
      <c r="A52" s="6" t="inlineStr">
        <is>
          <t>Electronics</t>
        </is>
      </c>
      <c r="B52" s="6" t="inlineStr">
        <is>
          <t>UGREEN Revodok 105 USB-C hub, 5-in-1</t>
        </is>
      </c>
      <c r="C52" s="7" t="inlineStr">
        <is>
          <t>B0BR3M8XHK</t>
        </is>
      </c>
      <c r="D52" s="6" t="inlineStr">
        <is>
          <t>6</t>
        </is>
      </c>
      <c r="E52" s="6" t="n">
        <v>6</v>
      </c>
      <c r="F52" s="8" t="n">
        <v>79.89</v>
      </c>
      <c r="G52" s="6" t="inlineStr">
        <is>
          <t>Laptop: webcam + Arduino</t>
        </is>
      </c>
      <c r="H52" s="6" t="n">
        <v>1</v>
      </c>
      <c r="I52" s="6" t="n">
        <v>9</v>
      </c>
      <c r="J52" s="6" t="inlineStr">
        <is>
          <t>units</t>
        </is>
      </c>
      <c r="K52" s="9" t="n"/>
      <c r="L52" s="10" t="n"/>
      <c r="M52" s="11">
        <f>IF(K52="","",MAX(0,I52-K52))</f>
        <v/>
      </c>
      <c r="N52" s="6" t="inlineStr"/>
    </row>
    <row r="53">
      <c r="A53" s="6" t="inlineStr">
        <is>
          <t>Electronics</t>
        </is>
      </c>
      <c r="B53" s="6" t="inlineStr">
        <is>
          <t>TAKAGI USB-A to USB-C cable, 6 ft (3-pack)</t>
        </is>
      </c>
      <c r="C53" s="7" t="inlineStr">
        <is>
          <t>B07SMNZK8H</t>
        </is>
      </c>
      <c r="D53" s="6" t="inlineStr">
        <is>
          <t>4 packs = 12</t>
        </is>
      </c>
      <c r="E53" s="6" t="n">
        <v>12</v>
      </c>
      <c r="F53" s="8" t="n">
        <v>36.96</v>
      </c>
      <c r="G53" s="6" t="inlineStr">
        <is>
          <t>Uno Q programming (USB-C)</t>
        </is>
      </c>
      <c r="H53" s="6" t="n">
        <v>1</v>
      </c>
      <c r="I53" s="6" t="n">
        <v>9</v>
      </c>
      <c r="J53" s="6" t="inlineStr">
        <is>
          <t>units</t>
        </is>
      </c>
      <c r="K53" s="9" t="n"/>
      <c r="L53" s="10" t="n"/>
      <c r="M53" s="11">
        <f>IF(K53="","",MAX(0,I53-K53))</f>
        <v/>
      </c>
      <c r="N53" s="6" t="inlineStr"/>
    </row>
    <row r="54">
      <c r="A54" s="6" t="inlineStr">
        <is>
          <t>Electronics</t>
        </is>
      </c>
      <c r="B54" s="6" t="inlineStr">
        <is>
          <t>USB-C 20 W charger block (4-pack)</t>
        </is>
      </c>
      <c r="C54" s="7" t="inlineStr">
        <is>
          <t>B0B2WLSY9D</t>
        </is>
      </c>
      <c r="D54" s="6" t="inlineStr">
        <is>
          <t>4</t>
        </is>
      </c>
      <c r="E54" s="6" t="n">
        <v>4</v>
      </c>
      <c r="F54" s="8" t="n">
        <v>9.98</v>
      </c>
      <c r="G54" s="6" t="inlineStr">
        <is>
          <t>Probably powers the Uno Q off-laptop</t>
        </is>
      </c>
      <c r="H54" s="6" t="n"/>
      <c r="I54" s="6" t="n"/>
      <c r="J54" s="6" t="inlineStr">
        <is>
          <t>units</t>
        </is>
      </c>
      <c r="K54" s="9" t="n"/>
      <c r="L54" s="10" t="n"/>
      <c r="M54" s="12" t="inlineStr">
        <is>
          <t>—</t>
        </is>
      </c>
      <c r="N54" s="6" t="inlineStr"/>
    </row>
    <row r="55">
      <c r="A55" s="6" t="inlineStr">
        <is>
          <t>Electronics</t>
        </is>
      </c>
      <c r="B55" s="6" t="inlineStr">
        <is>
          <t>ELEGOO 400-point breadboard (6-pack)</t>
        </is>
      </c>
      <c r="C55" s="7" t="inlineStr">
        <is>
          <t>B0CYPVMK9J</t>
        </is>
      </c>
      <c r="D55" s="6" t="inlineStr">
        <is>
          <t>2 packs = 12</t>
        </is>
      </c>
      <c r="E55" s="6" t="n">
        <v>12</v>
      </c>
      <c r="F55" s="8" t="n">
        <v>15.88</v>
      </c>
      <c r="G55" s="6" t="inlineStr">
        <is>
          <t>Phase 1 wiring</t>
        </is>
      </c>
      <c r="H55" s="6" t="n">
        <v>1</v>
      </c>
      <c r="I55" s="6" t="n">
        <v>9</v>
      </c>
      <c r="J55" s="6" t="inlineStr">
        <is>
          <t>units</t>
        </is>
      </c>
      <c r="K55" s="9" t="n"/>
      <c r="L55" s="10" t="n"/>
      <c r="M55" s="11">
        <f>IF(K55="","",MAX(0,I55-K55))</f>
        <v/>
      </c>
      <c r="N55" s="6" t="inlineStr"/>
    </row>
    <row r="56">
      <c r="A56" s="6" t="inlineStr">
        <is>
          <t>Electronics</t>
        </is>
      </c>
      <c r="B56" s="6" t="inlineStr">
        <is>
          <t>MCIGICM 830-point breadboard (10-pack)</t>
        </is>
      </c>
      <c r="C56" s="7" t="inlineStr">
        <is>
          <t>B07H9X7XVN</t>
        </is>
      </c>
      <c r="D56" s="6" t="inlineStr">
        <is>
          <t>10</t>
        </is>
      </c>
      <c r="E56" s="6" t="n">
        <v>10</v>
      </c>
      <c r="F56" s="8" t="n">
        <v>19.99</v>
      </c>
      <c r="G56" s="6" t="inlineStr">
        <is>
          <t>Phase 1 wiring</t>
        </is>
      </c>
      <c r="H56" s="6" t="n">
        <v>1</v>
      </c>
      <c r="I56" s="6" t="n">
        <v>9</v>
      </c>
      <c r="J56" s="6" t="inlineStr">
        <is>
          <t>units</t>
        </is>
      </c>
      <c r="K56" s="9" t="n"/>
      <c r="L56" s="10" t="n"/>
      <c r="M56" s="11">
        <f>IF(K56="","",MAX(0,I56-K56))</f>
        <v/>
      </c>
      <c r="N56" s="6" t="inlineStr"/>
    </row>
    <row r="57">
      <c r="A57" s="6" t="inlineStr">
        <is>
          <t>Electronics</t>
        </is>
      </c>
      <c r="B57" s="6" t="inlineStr">
        <is>
          <t>EDGELEC jumper wires M–F, 20 cm (120 pc)</t>
        </is>
      </c>
      <c r="C57" s="7" t="inlineStr">
        <is>
          <t>B07GD2BWPY</t>
        </is>
      </c>
      <c r="D57" s="6" t="inlineStr">
        <is>
          <t>2 packs</t>
        </is>
      </c>
      <c r="E57" s="6" t="n"/>
      <c r="F57" s="8" t="n">
        <v>12.86</v>
      </c>
      <c r="G57" s="6" t="inlineStr">
        <is>
          <t>Wiring</t>
        </is>
      </c>
      <c r="H57" s="6" t="n"/>
      <c r="I57" s="6" t="n"/>
      <c r="J57" s="6" t="inlineStr">
        <is>
          <t>packs</t>
        </is>
      </c>
      <c r="K57" s="9" t="n"/>
      <c r="L57" s="10" t="n"/>
      <c r="M57" s="12" t="inlineStr">
        <is>
          <t>—</t>
        </is>
      </c>
      <c r="N57" s="6" t="inlineStr"/>
    </row>
    <row r="58">
      <c r="A58" s="6" t="inlineStr">
        <is>
          <t>Electronics</t>
        </is>
      </c>
      <c r="B58" s="6" t="inlineStr">
        <is>
          <t>EDGELEC jumper wires M–M, 20 cm (120 pc)</t>
        </is>
      </c>
      <c r="C58" s="7" t="inlineStr">
        <is>
          <t>B07GD3JVHD</t>
        </is>
      </c>
      <c r="D58" s="6" t="inlineStr">
        <is>
          <t>1 pack</t>
        </is>
      </c>
      <c r="E58" s="6" t="n"/>
      <c r="F58" s="8" t="n">
        <v>7.98</v>
      </c>
      <c r="G58" s="6" t="inlineStr">
        <is>
          <t>Wiring</t>
        </is>
      </c>
      <c r="H58" s="6" t="n"/>
      <c r="I58" s="6" t="n"/>
      <c r="J58" s="6" t="inlineStr">
        <is>
          <t>packs</t>
        </is>
      </c>
      <c r="K58" s="9" t="n"/>
      <c r="L58" s="10" t="n"/>
      <c r="M58" s="12" t="inlineStr">
        <is>
          <t>—</t>
        </is>
      </c>
      <c r="N58" s="6" t="inlineStr"/>
    </row>
    <row r="59">
      <c r="A59" s="6" t="inlineStr">
        <is>
          <t>Electronics</t>
        </is>
      </c>
      <c r="B59" s="6" t="inlineStr">
        <is>
          <t>ELEGOO Dupont jumper kit M–F / M–M / F–F (120 pc)</t>
        </is>
      </c>
      <c r="C59" s="7" t="inlineStr">
        <is>
          <t>B01EV70C78</t>
        </is>
      </c>
      <c r="D59" s="6" t="inlineStr">
        <is>
          <t>1 pack</t>
        </is>
      </c>
      <c r="E59" s="6" t="n"/>
      <c r="F59" s="8" t="n">
        <v>6.88</v>
      </c>
      <c r="G59" s="6" t="inlineStr">
        <is>
          <t>Wiring</t>
        </is>
      </c>
      <c r="H59" s="6" t="n"/>
      <c r="I59" s="6" t="n"/>
      <c r="J59" s="6" t="inlineStr">
        <is>
          <t>packs</t>
        </is>
      </c>
      <c r="K59" s="9" t="n"/>
      <c r="L59" s="10" t="n"/>
      <c r="M59" s="12" t="inlineStr">
        <is>
          <t>—</t>
        </is>
      </c>
      <c r="N59" s="6" t="inlineStr"/>
    </row>
    <row r="60">
      <c r="A60" s="6" t="inlineStr">
        <is>
          <t>Electronics</t>
        </is>
      </c>
      <c r="B60" s="6" t="inlineStr">
        <is>
          <t>TUOFENG 22 AWG solid hookup wire, 6 colors × 30 ft</t>
        </is>
      </c>
      <c r="C60" s="7" t="inlineStr">
        <is>
          <t>B07TX6BX47</t>
        </is>
      </c>
      <c r="D60" s="6" t="inlineStr">
        <is>
          <t>1</t>
        </is>
      </c>
      <c r="E60" s="6" t="n">
        <v>1</v>
      </c>
      <c r="F60" s="8" t="n">
        <v>15.1</v>
      </c>
      <c r="G60" s="6" t="inlineStr">
        <is>
          <t>Wiring</t>
        </is>
      </c>
      <c r="H60" s="6" t="n"/>
      <c r="I60" s="6" t="n"/>
      <c r="J60" s="6" t="inlineStr">
        <is>
          <t>spools</t>
        </is>
      </c>
      <c r="K60" s="9" t="n"/>
      <c r="L60" s="10" t="n"/>
      <c r="M60" s="12" t="inlineStr">
        <is>
          <t>—</t>
        </is>
      </c>
      <c r="N60" s="6" t="inlineStr"/>
    </row>
    <row r="61">
      <c r="A61" s="6" t="inlineStr">
        <is>
          <t>Electronics</t>
        </is>
      </c>
      <c r="B61" s="6" t="inlineStr">
        <is>
          <t>4-conductor 22 AWG cable, 40 ft</t>
        </is>
      </c>
      <c r="C61" s="7" t="inlineStr">
        <is>
          <t>B0793NGKL9</t>
        </is>
      </c>
      <c r="D61" s="6" t="inlineStr">
        <is>
          <t>1</t>
        </is>
      </c>
      <c r="E61" s="6" t="n">
        <v>1</v>
      </c>
      <c r="F61" s="8" t="n">
        <v>14.98</v>
      </c>
      <c r="G61" s="6" t="inlineStr">
        <is>
          <t>Stepper lead extensions up the arm</t>
        </is>
      </c>
      <c r="H61" s="6" t="n"/>
      <c r="I61" s="6" t="n"/>
      <c r="J61" s="6" t="inlineStr">
        <is>
          <t>spools</t>
        </is>
      </c>
      <c r="K61" s="9" t="n"/>
      <c r="L61" s="10" t="n"/>
      <c r="M61" s="12" t="inlineStr">
        <is>
          <t>—</t>
        </is>
      </c>
      <c r="N61" s="6" t="inlineStr"/>
    </row>
    <row r="62">
      <c r="A62" s="6" t="inlineStr">
        <is>
          <t>Electronics</t>
        </is>
      </c>
      <c r="B62" s="6" t="inlineStr">
        <is>
          <t>DaFuRui 4-pin 5.08 mm pluggable screw terminal (15 pairs)</t>
        </is>
      </c>
      <c r="C62" s="7" t="inlineStr">
        <is>
          <t>B0C2Y3VSVB</t>
        </is>
      </c>
      <c r="D62" s="6" t="inlineStr">
        <is>
          <t>15</t>
        </is>
      </c>
      <c r="E62" s="6" t="n">
        <v>15</v>
      </c>
      <c r="F62" s="8" t="n">
        <v>16.99</v>
      </c>
      <c r="G62" s="6" t="inlineStr">
        <is>
          <t>Motor connectors</t>
        </is>
      </c>
      <c r="H62" s="6" t="n"/>
      <c r="I62" s="6" t="n"/>
      <c r="J62" s="6" t="inlineStr">
        <is>
          <t>units</t>
        </is>
      </c>
      <c r="K62" s="9" t="n"/>
      <c r="L62" s="10" t="n"/>
      <c r="M62" s="12" t="inlineStr">
        <is>
          <t>—</t>
        </is>
      </c>
      <c r="N62" s="6" t="inlineStr"/>
    </row>
    <row r="63">
      <c r="A63" s="6" t="inlineStr">
        <is>
          <t>Electronics</t>
        </is>
      </c>
      <c r="B63" s="6" t="inlineStr">
        <is>
          <t>Goupchn banana plug to breadboard leads</t>
        </is>
      </c>
      <c r="C63" s="7" t="inlineStr">
        <is>
          <t>B08KZKGWTJ</t>
        </is>
      </c>
      <c r="D63" s="6" t="inlineStr">
        <is>
          <t>2</t>
        </is>
      </c>
      <c r="E63" s="6" t="n">
        <v>2</v>
      </c>
      <c r="F63" s="8" t="n">
        <v>17.62</v>
      </c>
      <c r="G63" s="6" t="inlineStr">
        <is>
          <t>Bench supply to breadboard</t>
        </is>
      </c>
      <c r="H63" s="6" t="n"/>
      <c r="I63" s="6" t="n"/>
      <c r="J63" s="6" t="inlineStr">
        <is>
          <t>packs</t>
        </is>
      </c>
      <c r="K63" s="9" t="n"/>
      <c r="L63" s="10" t="n"/>
      <c r="M63" s="12" t="inlineStr">
        <is>
          <t>—</t>
        </is>
      </c>
      <c r="N63" s="6" t="inlineStr"/>
    </row>
    <row r="64">
      <c r="A64" s="6" t="inlineStr">
        <is>
          <t>Electronics</t>
        </is>
      </c>
      <c r="B64" s="6" t="inlineStr">
        <is>
          <t>BOJACK resistor kit, 25 values (1000 pc)</t>
        </is>
      </c>
      <c r="C64" s="7" t="inlineStr">
        <is>
          <t>B08FD1XVL6</t>
        </is>
      </c>
      <c r="D64" s="6" t="inlineStr">
        <is>
          <t>1 kit</t>
        </is>
      </c>
      <c r="E64" s="6" t="n"/>
      <c r="F64" s="8" t="n">
        <v>9.890000000000001</v>
      </c>
      <c r="G64" s="6" t="inlineStr">
        <is>
          <t>LEDs, pull-ups</t>
        </is>
      </c>
      <c r="H64" s="6" t="n"/>
      <c r="I64" s="6" t="n"/>
      <c r="J64" s="6" t="inlineStr">
        <is>
          <t>kits</t>
        </is>
      </c>
      <c r="K64" s="9" t="n"/>
      <c r="L64" s="10" t="n"/>
      <c r="M64" s="12" t="inlineStr">
        <is>
          <t>—</t>
        </is>
      </c>
      <c r="N64" s="6" t="inlineStr"/>
    </row>
    <row r="65">
      <c r="A65" s="6" t="inlineStr">
        <is>
          <t>Tools (reusable)</t>
        </is>
      </c>
      <c r="B65" s="6" t="inlineStr">
        <is>
          <t>Bondhus 10686 ball-end hex screwdriver set, 1.5–5 mm</t>
        </is>
      </c>
      <c r="C65" s="7" t="inlineStr">
        <is>
          <t>B0006O4AD8</t>
        </is>
      </c>
      <c r="D65" s="6" t="inlineStr">
        <is>
          <t>5 sets</t>
        </is>
      </c>
      <c r="E65" s="6" t="n">
        <v>5</v>
      </c>
      <c r="F65" s="8" t="n">
        <v>84.2</v>
      </c>
      <c r="G65" s="6" t="inlineStr">
        <is>
          <t>1 per team plus a spare: 9 sets needed, so buy 4 more</t>
        </is>
      </c>
      <c r="H65" s="6" t="n">
        <v>1</v>
      </c>
      <c r="I65" s="6" t="n">
        <v>9</v>
      </c>
      <c r="J65" s="6" t="inlineStr">
        <is>
          <t>sets</t>
        </is>
      </c>
      <c r="K65" s="9" t="n"/>
      <c r="L65" s="10" t="n"/>
      <c r="M65" s="11">
        <f>IF(K65="","",MAX(0,I65-K65))</f>
        <v/>
      </c>
      <c r="N65" s="6" t="inlineStr"/>
    </row>
    <row r="66">
      <c r="A66" s="6" t="inlineStr">
        <is>
          <t>Tools (reusable)</t>
        </is>
      </c>
      <c r="B66" s="6" t="inlineStr">
        <is>
          <t>AstroAI digital multimeter</t>
        </is>
      </c>
      <c r="C66" s="7" t="inlineStr">
        <is>
          <t>B01ISAMUA6</t>
        </is>
      </c>
      <c r="D66" s="6" t="inlineStr">
        <is>
          <t>1</t>
        </is>
      </c>
      <c r="E66" s="6" t="n">
        <v>1</v>
      </c>
      <c r="F66" s="8" t="n">
        <v>13.95</v>
      </c>
      <c r="G66" s="6" t="inlineStr"/>
      <c r="H66" s="6" t="n"/>
      <c r="I66" s="6" t="n"/>
      <c r="J66" s="6" t="inlineStr">
        <is>
          <t>units</t>
        </is>
      </c>
      <c r="K66" s="9" t="n"/>
      <c r="L66" s="10" t="n"/>
      <c r="M66" s="12" t="inlineStr">
        <is>
          <t>—</t>
        </is>
      </c>
      <c r="N66" s="6" t="inlineStr"/>
    </row>
    <row r="67">
      <c r="A67" s="6" t="inlineStr">
        <is>
          <t>Tools (reusable)</t>
        </is>
      </c>
      <c r="B67" s="6" t="inlineStr">
        <is>
          <t>Adoric 6" digital caliper</t>
        </is>
      </c>
      <c r="C67" s="7" t="inlineStr">
        <is>
          <t>B07DFFYCXS</t>
        </is>
      </c>
      <c r="D67" s="6" t="inlineStr">
        <is>
          <t>1</t>
        </is>
      </c>
      <c r="E67" s="6" t="n">
        <v>1</v>
      </c>
      <c r="F67" s="8" t="n">
        <v>6.99</v>
      </c>
      <c r="G67" s="6" t="inlineStr"/>
      <c r="H67" s="6" t="n"/>
      <c r="I67" s="6" t="n"/>
      <c r="J67" s="6" t="inlineStr">
        <is>
          <t>units</t>
        </is>
      </c>
      <c r="K67" s="9" t="n"/>
      <c r="L67" s="10" t="n"/>
      <c r="M67" s="12" t="inlineStr">
        <is>
          <t>—</t>
        </is>
      </c>
      <c r="N67" s="6" t="inlineStr"/>
    </row>
    <row r="68">
      <c r="A68" s="6" t="inlineStr">
        <is>
          <t>Tools (reusable)</t>
        </is>
      </c>
      <c r="B68" s="6" t="inlineStr">
        <is>
          <t>NSZETZ precision screwdriver set, 11 pc</t>
        </is>
      </c>
      <c r="C68" s="7" t="inlineStr">
        <is>
          <t>B08ZS76VDG</t>
        </is>
      </c>
      <c r="D68" s="6" t="inlineStr">
        <is>
          <t>1</t>
        </is>
      </c>
      <c r="E68" s="6" t="n">
        <v>1</v>
      </c>
      <c r="F68" s="8" t="n">
        <v>7.59</v>
      </c>
      <c r="G68" s="6" t="inlineStr">
        <is>
          <t>A4988 current-limit trimmer</t>
        </is>
      </c>
      <c r="H68" s="6" t="n"/>
      <c r="I68" s="6" t="n"/>
      <c r="J68" s="6" t="inlineStr">
        <is>
          <t>units</t>
        </is>
      </c>
      <c r="K68" s="9" t="n"/>
      <c r="L68" s="10" t="n"/>
      <c r="M68" s="12" t="inlineStr">
        <is>
          <t>—</t>
        </is>
      </c>
      <c r="N68" s="6" t="inlineStr"/>
    </row>
    <row r="69">
      <c r="A69" s="6" t="inlineStr">
        <is>
          <t>Tools (reusable)</t>
        </is>
      </c>
      <c r="B69" s="6" t="inlineStr">
        <is>
          <t>WGGE WG-015 wire stripper/crimper</t>
        </is>
      </c>
      <c r="C69" s="7" t="inlineStr">
        <is>
          <t>B073YG65N2</t>
        </is>
      </c>
      <c r="D69" s="6" t="inlineStr">
        <is>
          <t>1</t>
        </is>
      </c>
      <c r="E69" s="6" t="n">
        <v>1</v>
      </c>
      <c r="F69" s="8" t="n">
        <v>8.69</v>
      </c>
      <c r="G69" s="6" t="inlineStr"/>
      <c r="H69" s="6" t="n"/>
      <c r="I69" s="6" t="n"/>
      <c r="J69" s="6" t="inlineStr">
        <is>
          <t>units</t>
        </is>
      </c>
      <c r="K69" s="9" t="n"/>
      <c r="L69" s="10" t="n"/>
      <c r="M69" s="12" t="inlineStr">
        <is>
          <t>—</t>
        </is>
      </c>
      <c r="N69" s="6" t="inlineStr"/>
    </row>
    <row r="70">
      <c r="A70" s="6" t="inlineStr">
        <is>
          <t>Tools (reusable)</t>
        </is>
      </c>
      <c r="B70" s="6" t="inlineStr">
        <is>
          <t>MAIYUM 63/37 rosin-core solder, 0.8 mm, 50 g</t>
        </is>
      </c>
      <c r="C70" s="7" t="inlineStr">
        <is>
          <t>B075WB98FJ</t>
        </is>
      </c>
      <c r="D70" s="6" t="inlineStr">
        <is>
          <t>1</t>
        </is>
      </c>
      <c r="E70" s="6" t="n">
        <v>1</v>
      </c>
      <c r="F70" s="8" t="n">
        <v>8.9</v>
      </c>
      <c r="G70" s="6" t="inlineStr">
        <is>
          <t>Consumable</t>
        </is>
      </c>
      <c r="H70" s="6" t="n"/>
      <c r="I70" s="6" t="n"/>
      <c r="J70" s="6" t="inlineStr">
        <is>
          <t>units</t>
        </is>
      </c>
      <c r="K70" s="9" t="n"/>
      <c r="L70" s="10" t="n"/>
      <c r="M70" s="12" t="inlineStr">
        <is>
          <t>—</t>
        </is>
      </c>
      <c r="N70" s="6" t="inlineStr"/>
    </row>
    <row r="71">
      <c r="A71" s="6" t="inlineStr">
        <is>
          <t>Tools (reusable)</t>
        </is>
      </c>
      <c r="B71" s="6" t="inlineStr">
        <is>
          <t>Weller brass tip cleaner</t>
        </is>
      </c>
      <c r="C71" s="7" t="inlineStr">
        <is>
          <t>B08FQBS97L</t>
        </is>
      </c>
      <c r="D71" s="6" t="inlineStr">
        <is>
          <t>1</t>
        </is>
      </c>
      <c r="E71" s="6" t="n">
        <v>1</v>
      </c>
      <c r="F71" s="8" t="n">
        <v>10.73</v>
      </c>
      <c r="G71" s="6" t="inlineStr"/>
      <c r="H71" s="6" t="n"/>
      <c r="I71" s="6" t="n"/>
      <c r="J71" s="6" t="inlineStr">
        <is>
          <t>units</t>
        </is>
      </c>
      <c r="K71" s="9" t="n"/>
      <c r="L71" s="10" t="n"/>
      <c r="M71" s="12" t="inlineStr">
        <is>
          <t>—</t>
        </is>
      </c>
      <c r="N71" s="6" t="inlineStr"/>
    </row>
    <row r="72">
      <c r="A72" s="6" t="inlineStr">
        <is>
          <t>Spare parts (not in the current CAD)</t>
        </is>
      </c>
      <c r="B72" s="6" t="inlineStr">
        <is>
          <t>uxcell 51107 thrust bearing 35×52×12 (2-pack)</t>
        </is>
      </c>
      <c r="C72" s="7" t="inlineStr">
        <is>
          <t>B07G847G75</t>
        </is>
      </c>
      <c r="D72" s="6" t="inlineStr">
        <is>
          <t>2</t>
        </is>
      </c>
      <c r="E72" s="6" t="n">
        <v>2</v>
      </c>
      <c r="F72" s="8" t="n">
        <v>9.279999999999999</v>
      </c>
      <c r="G72" s="6" t="inlineStr">
        <is>
          <t>CAD uses 51108</t>
        </is>
      </c>
      <c r="H72" s="6" t="n"/>
      <c r="I72" s="6" t="n"/>
      <c r="J72" s="6" t="inlineStr">
        <is>
          <t>units</t>
        </is>
      </c>
      <c r="K72" s="9" t="n"/>
      <c r="L72" s="10" t="n"/>
      <c r="M72" s="12" t="inlineStr">
        <is>
          <t>—</t>
        </is>
      </c>
      <c r="N72" s="6" t="inlineStr"/>
    </row>
    <row r="73">
      <c r="A73" s="6" t="inlineStr">
        <is>
          <t>Spare parts (not in the current CAD)</t>
        </is>
      </c>
      <c r="B73" s="6" t="inlineStr">
        <is>
          <t>uxcell 6802-2RS 15×24×5 (10-pack)</t>
        </is>
      </c>
      <c r="C73" s="7" t="inlineStr">
        <is>
          <t>B07FVZKBKX</t>
        </is>
      </c>
      <c r="D73" s="6" t="inlineStr">
        <is>
          <t>2 packs = 20</t>
        </is>
      </c>
      <c r="E73" s="6" t="n">
        <v>20</v>
      </c>
      <c r="F73" s="8" t="n">
        <v>18.76</v>
      </c>
      <c r="G73" s="6" t="inlineStr">
        <is>
          <t>Not in CAD</t>
        </is>
      </c>
      <c r="H73" s="6" t="n"/>
      <c r="I73" s="6" t="n"/>
      <c r="J73" s="6" t="inlineStr">
        <is>
          <t>units</t>
        </is>
      </c>
      <c r="K73" s="9" t="n"/>
      <c r="L73" s="10" t="n"/>
      <c r="M73" s="12" t="inlineStr">
        <is>
          <t>—</t>
        </is>
      </c>
      <c r="N73" s="6" t="inlineStr"/>
    </row>
    <row r="74">
      <c r="A74" s="6" t="inlineStr">
        <is>
          <t>Spare parts (not in the current CAD)</t>
        </is>
      </c>
      <c r="B74" s="6" t="inlineStr">
        <is>
          <t>uxcell 625-2RS 5×16×5 (5-pack)</t>
        </is>
      </c>
      <c r="C74" s="7" t="inlineStr">
        <is>
          <t>B07TNNX9YX</t>
        </is>
      </c>
      <c r="D74" s="6" t="inlineStr">
        <is>
          <t>3 packs = 15</t>
        </is>
      </c>
      <c r="E74" s="6" t="n">
        <v>15</v>
      </c>
      <c r="F74" s="8" t="n">
        <v>21.18</v>
      </c>
      <c r="G74" s="6" t="inlineStr">
        <is>
          <t>Not in CAD (5 mm bore: an idler variant?)</t>
        </is>
      </c>
      <c r="H74" s="6" t="n"/>
      <c r="I74" s="6" t="n"/>
      <c r="J74" s="6" t="inlineStr">
        <is>
          <t>units</t>
        </is>
      </c>
      <c r="K74" s="9" t="n"/>
      <c r="L74" s="10" t="n"/>
      <c r="M74" s="12" t="inlineStr">
        <is>
          <t>—</t>
        </is>
      </c>
      <c r="N74" s="6" t="inlineStr"/>
    </row>
    <row r="75">
      <c r="A75" s="6" t="inlineStr">
        <is>
          <t>Spare parts (not in the current CAD)</t>
        </is>
      </c>
      <c r="B75" s="6" t="inlineStr">
        <is>
          <t>uxcell 686-2RS 6×13×5 (20-pack)</t>
        </is>
      </c>
      <c r="C75" s="7" t="inlineStr">
        <is>
          <t>B0DCP3V3B5</t>
        </is>
      </c>
      <c r="D75" s="6" t="inlineStr">
        <is>
          <t>3 packs = 60</t>
        </is>
      </c>
      <c r="E75" s="6" t="n">
        <v>60</v>
      </c>
      <c r="F75" s="8" t="n">
        <v>44.73</v>
      </c>
      <c r="G75" s="6" t="inlineStr">
        <is>
          <t>Not in CAD (6 mm bore: planet bearings instead of bushings?)</t>
        </is>
      </c>
      <c r="H75" s="6" t="n"/>
      <c r="I75" s="6" t="n"/>
      <c r="J75" s="6" t="inlineStr">
        <is>
          <t>units</t>
        </is>
      </c>
      <c r="K75" s="9" t="n"/>
      <c r="L75" s="10" t="n"/>
      <c r="M75" s="12" t="inlineStr">
        <is>
          <t>—</t>
        </is>
      </c>
      <c r="N75" s="6" t="inlineStr"/>
    </row>
    <row r="76">
      <c r="A76" s="6" t="inlineStr">
        <is>
          <t>Spare parts (not in the current CAD)</t>
        </is>
      </c>
      <c r="B76" s="6" t="inlineStr">
        <is>
          <t>uxcell 6×35 mm dowel pin (30-pack)</t>
        </is>
      </c>
      <c r="C76" s="7" t="inlineStr">
        <is>
          <t>B0F3JPNX6R</t>
        </is>
      </c>
      <c r="D76" s="6" t="inlineStr">
        <is>
          <t>30</t>
        </is>
      </c>
      <c r="E76" s="6" t="n">
        <v>30</v>
      </c>
      <c r="F76" s="8" t="n">
        <v>11.29</v>
      </c>
      <c r="G76" s="6" t="inlineStr">
        <is>
          <t>CAD uses 6×22 and 6×30</t>
        </is>
      </c>
      <c r="H76" s="6" t="n"/>
      <c r="I76" s="6" t="n"/>
      <c r="J76" s="6" t="inlineStr">
        <is>
          <t>units</t>
        </is>
      </c>
      <c r="K76" s="9" t="n"/>
      <c r="L76" s="10" t="n"/>
      <c r="M76" s="12" t="inlineStr">
        <is>
          <t>—</t>
        </is>
      </c>
      <c r="N76" s="6" t="inlineStr"/>
    </row>
    <row r="77">
      <c r="A77" s="6" t="inlineStr">
        <is>
          <t>Spare parts (not in the current CAD)</t>
        </is>
      </c>
      <c r="B77" s="6" t="inlineStr">
        <is>
          <t>ruthex M4 × 8.1 heat-set insert (50-pack)</t>
        </is>
      </c>
      <c r="C77" s="7" t="inlineStr">
        <is>
          <t>B07YSV66Y5</t>
        </is>
      </c>
      <c r="D77" s="6" t="inlineStr">
        <is>
          <t>50</t>
        </is>
      </c>
      <c r="E77" s="6" t="n">
        <v>50</v>
      </c>
      <c r="F77" s="8" t="n">
        <v>9.49</v>
      </c>
      <c r="G77" s="6" t="inlineStr">
        <is>
          <t>CAD uses only M3 and M5 inserts</t>
        </is>
      </c>
      <c r="H77" s="6" t="n"/>
      <c r="I77" s="6" t="n"/>
      <c r="J77" s="6" t="inlineStr">
        <is>
          <t>units</t>
        </is>
      </c>
      <c r="K77" s="9" t="n"/>
      <c r="L77" s="10" t="n"/>
      <c r="M77" s="12" t="inlineStr">
        <is>
          <t>—</t>
        </is>
      </c>
      <c r="N77" s="6" t="inlineStr"/>
    </row>
    <row r="78">
      <c r="A78" s="6" t="inlineStr">
        <is>
          <t>Spare parts (not in the current CAD)</t>
        </is>
      </c>
      <c r="B78" s="6" t="inlineStr">
        <is>
          <t>Kadrick M4 assortment, 6–40 mm (1400 pc)</t>
        </is>
      </c>
      <c r="C78" s="7" t="inlineStr">
        <is>
          <t>B0CQNPWSG4</t>
        </is>
      </c>
      <c r="D78" s="6" t="inlineStr">
        <is>
          <t>1 kit</t>
        </is>
      </c>
      <c r="E78" s="6" t="n"/>
      <c r="F78" s="8" t="n">
        <v>22.99</v>
      </c>
      <c r="G78" s="6" t="inlineStr">
        <is>
          <t>CAD has no M4 screws (only the set screw)</t>
        </is>
      </c>
      <c r="H78" s="6" t="n"/>
      <c r="I78" s="6" t="n"/>
      <c r="J78" s="6" t="inlineStr">
        <is>
          <t>kits</t>
        </is>
      </c>
      <c r="K78" s="9" t="n"/>
      <c r="L78" s="10" t="n"/>
      <c r="M78" s="12" t="inlineStr">
        <is>
          <t>—</t>
        </is>
      </c>
      <c r="N78" s="6" t="inlineStr"/>
    </row>
    <row r="79"/>
    <row r="80">
      <c r="E80" s="15" t="inlineStr">
        <is>
          <t>Total spent</t>
        </is>
      </c>
      <c r="F80" s="16">
        <f>SUM(F6:F78)</f>
        <v/>
      </c>
    </row>
    <row r="81">
      <c r="E81" s="15" t="inlineStr">
        <is>
          <t>Rows counted</t>
        </is>
      </c>
      <c r="F81" s="15">
        <f>COUNT(K6:K78)&amp;" of "&amp;ROWS(K6:K78)</f>
        <v/>
      </c>
    </row>
  </sheetData>
  <autoFilter ref="A5:N78"/>
  <mergeCells count="3">
    <mergeCell ref="A3:N3"/>
    <mergeCell ref="A2:N2"/>
    <mergeCell ref="A1:N1"/>
  </mergeCells>
  <dataValidations count="1">
    <dataValidation sqref="K6:K78" showDropDown="0" showInputMessage="0" showErrorMessage="1" allowBlank="1" errorTitle="Count" error="Enter a number (0 or more)." type="decimal" operator="greaterThanOrEqual">
      <formula1>0</formula1>
    </dataValidation>
  </dataValidations>
  <hyperlinks>
    <hyperlink xmlns:r="http://schemas.openxmlformats.org/officeDocument/2006/relationships" ref="C6" r:id="rId1"/>
    <hyperlink xmlns:r="http://schemas.openxmlformats.org/officeDocument/2006/relationships" ref="C7" r:id="rId2"/>
    <hyperlink xmlns:r="http://schemas.openxmlformats.org/officeDocument/2006/relationships" ref="C8" r:id="rId3"/>
    <hyperlink xmlns:r="http://schemas.openxmlformats.org/officeDocument/2006/relationships" ref="C9" r:id="rId4"/>
    <hyperlink xmlns:r="http://schemas.openxmlformats.org/officeDocument/2006/relationships" ref="C10" r:id="rId5"/>
    <hyperlink xmlns:r="http://schemas.openxmlformats.org/officeDocument/2006/relationships" ref="C11" r:id="rId6"/>
    <hyperlink xmlns:r="http://schemas.openxmlformats.org/officeDocument/2006/relationships" ref="C12" r:id="rId7"/>
    <hyperlink xmlns:r="http://schemas.openxmlformats.org/officeDocument/2006/relationships" ref="C13" r:id="rId8"/>
    <hyperlink xmlns:r="http://schemas.openxmlformats.org/officeDocument/2006/relationships" ref="C14" r:id="rId9"/>
    <hyperlink xmlns:r="http://schemas.openxmlformats.org/officeDocument/2006/relationships" ref="C15" r:id="rId10"/>
    <hyperlink xmlns:r="http://schemas.openxmlformats.org/officeDocument/2006/relationships" ref="C16" r:id="rId11"/>
    <hyperlink xmlns:r="http://schemas.openxmlformats.org/officeDocument/2006/relationships" ref="C17" r:id="rId12"/>
    <hyperlink xmlns:r="http://schemas.openxmlformats.org/officeDocument/2006/relationships" ref="C18" r:id="rId13"/>
    <hyperlink xmlns:r="http://schemas.openxmlformats.org/officeDocument/2006/relationships" ref="C19" r:id="rId14"/>
    <hyperlink xmlns:r="http://schemas.openxmlformats.org/officeDocument/2006/relationships" ref="C20" r:id="rId15"/>
    <hyperlink xmlns:r="http://schemas.openxmlformats.org/officeDocument/2006/relationships" ref="C21" r:id="rId16"/>
    <hyperlink xmlns:r="http://schemas.openxmlformats.org/officeDocument/2006/relationships" ref="C22" r:id="rId17"/>
    <hyperlink xmlns:r="http://schemas.openxmlformats.org/officeDocument/2006/relationships" ref="C23" r:id="rId18"/>
    <hyperlink xmlns:r="http://schemas.openxmlformats.org/officeDocument/2006/relationships" ref="C24" r:id="rId19"/>
    <hyperlink xmlns:r="http://schemas.openxmlformats.org/officeDocument/2006/relationships" ref="C25" r:id="rId20"/>
    <hyperlink xmlns:r="http://schemas.openxmlformats.org/officeDocument/2006/relationships" ref="C26" r:id="rId21"/>
    <hyperlink xmlns:r="http://schemas.openxmlformats.org/officeDocument/2006/relationships" ref="C27" r:id="rId22"/>
    <hyperlink xmlns:r="http://schemas.openxmlformats.org/officeDocument/2006/relationships" ref="C28" r:id="rId23"/>
    <hyperlink xmlns:r="http://schemas.openxmlformats.org/officeDocument/2006/relationships" ref="C30" r:id="rId24"/>
    <hyperlink xmlns:r="http://schemas.openxmlformats.org/officeDocument/2006/relationships" ref="C31" r:id="rId25"/>
    <hyperlink xmlns:r="http://schemas.openxmlformats.org/officeDocument/2006/relationships" ref="C32" r:id="rId26"/>
    <hyperlink xmlns:r="http://schemas.openxmlformats.org/officeDocument/2006/relationships" ref="C33" r:id="rId27"/>
    <hyperlink xmlns:r="http://schemas.openxmlformats.org/officeDocument/2006/relationships" ref="C34" r:id="rId28"/>
    <hyperlink xmlns:r="http://schemas.openxmlformats.org/officeDocument/2006/relationships" ref="C35" r:id="rId29"/>
    <hyperlink xmlns:r="http://schemas.openxmlformats.org/officeDocument/2006/relationships" ref="C36" r:id="rId30"/>
    <hyperlink xmlns:r="http://schemas.openxmlformats.org/officeDocument/2006/relationships" ref="C37" r:id="rId31"/>
    <hyperlink xmlns:r="http://schemas.openxmlformats.org/officeDocument/2006/relationships" ref="C38" r:id="rId32"/>
    <hyperlink xmlns:r="http://schemas.openxmlformats.org/officeDocument/2006/relationships" ref="C39" r:id="rId33"/>
    <hyperlink xmlns:r="http://schemas.openxmlformats.org/officeDocument/2006/relationships" ref="C40" r:id="rId34"/>
    <hyperlink xmlns:r="http://schemas.openxmlformats.org/officeDocument/2006/relationships" ref="C41" r:id="rId35"/>
    <hyperlink xmlns:r="http://schemas.openxmlformats.org/officeDocument/2006/relationships" ref="C42" r:id="rId36"/>
    <hyperlink xmlns:r="http://schemas.openxmlformats.org/officeDocument/2006/relationships" ref="C44" r:id="rId37"/>
    <hyperlink xmlns:r="http://schemas.openxmlformats.org/officeDocument/2006/relationships" ref="C45" r:id="rId38"/>
    <hyperlink xmlns:r="http://schemas.openxmlformats.org/officeDocument/2006/relationships" ref="C46" r:id="rId39"/>
    <hyperlink xmlns:r="http://schemas.openxmlformats.org/officeDocument/2006/relationships" ref="C47" r:id="rId40"/>
    <hyperlink xmlns:r="http://schemas.openxmlformats.org/officeDocument/2006/relationships" ref="C48" r:id="rId41"/>
    <hyperlink xmlns:r="http://schemas.openxmlformats.org/officeDocument/2006/relationships" ref="C49" r:id="rId42"/>
    <hyperlink xmlns:r="http://schemas.openxmlformats.org/officeDocument/2006/relationships" ref="C50" r:id="rId43"/>
    <hyperlink xmlns:r="http://schemas.openxmlformats.org/officeDocument/2006/relationships" ref="C51" r:id="rId44"/>
    <hyperlink xmlns:r="http://schemas.openxmlformats.org/officeDocument/2006/relationships" ref="C52" r:id="rId45"/>
    <hyperlink xmlns:r="http://schemas.openxmlformats.org/officeDocument/2006/relationships" ref="C53" r:id="rId46"/>
    <hyperlink xmlns:r="http://schemas.openxmlformats.org/officeDocument/2006/relationships" ref="C54" r:id="rId47"/>
    <hyperlink xmlns:r="http://schemas.openxmlformats.org/officeDocument/2006/relationships" ref="C55" r:id="rId48"/>
    <hyperlink xmlns:r="http://schemas.openxmlformats.org/officeDocument/2006/relationships" ref="C56" r:id="rId49"/>
    <hyperlink xmlns:r="http://schemas.openxmlformats.org/officeDocument/2006/relationships" ref="C57" r:id="rId50"/>
    <hyperlink xmlns:r="http://schemas.openxmlformats.org/officeDocument/2006/relationships" ref="C58" r:id="rId51"/>
    <hyperlink xmlns:r="http://schemas.openxmlformats.org/officeDocument/2006/relationships" ref="C59" r:id="rId52"/>
    <hyperlink xmlns:r="http://schemas.openxmlformats.org/officeDocument/2006/relationships" ref="C60" r:id="rId53"/>
    <hyperlink xmlns:r="http://schemas.openxmlformats.org/officeDocument/2006/relationships" ref="C61" r:id="rId54"/>
    <hyperlink xmlns:r="http://schemas.openxmlformats.org/officeDocument/2006/relationships" ref="C62" r:id="rId55"/>
    <hyperlink xmlns:r="http://schemas.openxmlformats.org/officeDocument/2006/relationships" ref="C63" r:id="rId56"/>
    <hyperlink xmlns:r="http://schemas.openxmlformats.org/officeDocument/2006/relationships" ref="C64" r:id="rId57"/>
    <hyperlink xmlns:r="http://schemas.openxmlformats.org/officeDocument/2006/relationships" ref="C65" r:id="rId58"/>
    <hyperlink xmlns:r="http://schemas.openxmlformats.org/officeDocument/2006/relationships" ref="C66" r:id="rId59"/>
    <hyperlink xmlns:r="http://schemas.openxmlformats.org/officeDocument/2006/relationships" ref="C67" r:id="rId60"/>
    <hyperlink xmlns:r="http://schemas.openxmlformats.org/officeDocument/2006/relationships" ref="C68" r:id="rId61"/>
    <hyperlink xmlns:r="http://schemas.openxmlformats.org/officeDocument/2006/relationships" ref="C69" r:id="rId62"/>
    <hyperlink xmlns:r="http://schemas.openxmlformats.org/officeDocument/2006/relationships" ref="C70" r:id="rId63"/>
    <hyperlink xmlns:r="http://schemas.openxmlformats.org/officeDocument/2006/relationships" ref="C71" r:id="rId64"/>
    <hyperlink xmlns:r="http://schemas.openxmlformats.org/officeDocument/2006/relationships" ref="C72" r:id="rId65"/>
    <hyperlink xmlns:r="http://schemas.openxmlformats.org/officeDocument/2006/relationships" ref="C73" r:id="rId66"/>
    <hyperlink xmlns:r="http://schemas.openxmlformats.org/officeDocument/2006/relationships" ref="C74" r:id="rId67"/>
    <hyperlink xmlns:r="http://schemas.openxmlformats.org/officeDocument/2006/relationships" ref="C75" r:id="rId68"/>
    <hyperlink xmlns:r="http://schemas.openxmlformats.org/officeDocument/2006/relationships" ref="C76" r:id="rId69"/>
    <hyperlink xmlns:r="http://schemas.openxmlformats.org/officeDocument/2006/relationships" ref="C77" r:id="rId70"/>
    <hyperlink xmlns:r="http://schemas.openxmlformats.org/officeDocument/2006/relationships" ref="C78" r:id="rId71"/>
  </hyperlinks>
  <pageMargins left="0.75" right="0.75" top="1" bottom="1" header="0.5" footer="0.5"/>
  <pageSetup orientation="landscape" fitToHeight="0" fitToWidth="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0" customWidth="1" min="1" max="1"/>
    <col width="110" customWidth="1" min="2" max="2"/>
  </cols>
  <sheetData>
    <row r="1">
      <c r="A1" s="17" t="inlineStr">
        <is>
          <t>Notes and assumptions</t>
        </is>
      </c>
    </row>
    <row r="3">
      <c r="A3" s="18" t="inlineStr">
        <is>
          <t>Sizing</t>
        </is>
      </c>
      <c r="B3" s="19" t="inlineStr">
        <is>
          <t>Spring 2026: 20 students in 4 teams of 5, team items bought for 5 sets (one spare). Spring 2027: 40 students, 8 teams of 5 + 1 spare = 9 sets. Needed (9 sets) = Per arm × 9; the spare set is included.</t>
        </is>
      </c>
    </row>
    <row r="4">
      <c r="A4" s="18" t="inlineStr">
        <is>
          <t>Per arm</t>
        </is>
      </c>
      <c r="B4" s="19" t="inlineStr">
        <is>
          <t>From the CAD parts lists: CAD/docs/design.md §2–§4 and CAD/src/README.md (base and J1, J2 gearbox, two belt-drive segments J3/J4). Fastener counts are approximate: design.md does not record every screw length.</t>
        </is>
      </c>
    </row>
    <row r="5">
      <c r="A5" s="18" t="inlineStr">
        <is>
          <t>Consumables</t>
        </is>
      </c>
      <c r="B5" s="19" t="inlineStr">
        <is>
          <t>For fasteners and inserts, allow a full extra pack beyond 'To order': students strip, lose and mis-insert them.</t>
        </is>
      </c>
    </row>
    <row r="6">
      <c r="A6" s="18" t="inlineStr">
        <is>
          <t>Bought</t>
        </is>
      </c>
      <c r="B6" s="19" t="inlineStr">
        <is>
          <t>Units bought = packs × pack size, from all orders. It is what was purchased, not what is left.</t>
        </is>
      </c>
    </row>
    <row r="7">
      <c r="A7" s="18" t="inlineStr">
        <is>
          <t>J1 belt</t>
        </is>
      </c>
      <c r="B7" s="19" t="inlineStr">
        <is>
          <t>The base needs a 370–372 mm GT2 6 mm closed loop for ±124° J1 travel (design.md §2, I-14, I-19). None was bought. 366 / 368 mm belts fit but give ±122° / ±123°.</t>
        </is>
      </c>
    </row>
    <row r="8">
      <c r="A8" s="18" t="inlineStr">
        <is>
          <t>J1 belt listings</t>
        </is>
      </c>
      <c r="B8" s="19" t="inlineStr">
        <is>
          <t>B0H152X8XD (10-pack, 276–370 mm, 6 mm): https://www.amazon.com/dp/B0H152X8XD
B0DWKCJ6DJ (single, 350–380 mm): https://www.amazon.com/dp/B0DWKCJ6DJ
B0H338VH6R (360–380 mm in 2 mm steps): https://www.amazon.com/dp/B0H338VH6R
Sizes are chosen on the product page: check 370 mm and 6 mm width before buying.</t>
        </is>
      </c>
    </row>
    <row r="9">
      <c r="A9" s="18" t="inlineStr">
        <is>
          <t>Department supplied</t>
        </is>
      </c>
      <c r="B9" s="19" t="inlineStr">
        <is>
          <t>12 V motor power supplies (12 V, 2 A minimum) and PLA filament are provided by the department and not ordered.</t>
        </is>
      </c>
    </row>
    <row r="10">
      <c r="A10" s="18" t="inlineStr">
        <is>
          <t>Arduino Uno Q</t>
        </is>
      </c>
      <c r="B10" s="19" t="inlineStr">
        <is>
          <t>Bought from the Arduino online store, not Amazon: enter the count on the Inventory sheet.</t>
        </is>
      </c>
    </row>
    <row r="11">
      <c r="A11" s="18" t="inlineStr">
        <is>
          <t>Spares</t>
        </is>
      </c>
      <c r="B11" s="19" t="inlineStr">
        <is>
          <t>Section 6 rows were bought for the course but are not in the current CAD. Keep them; they don't need restocking.</t>
        </is>
      </c>
    </row>
    <row r="12">
      <c r="A12" s="18" t="inlineStr">
        <is>
          <t>Left out</t>
        </is>
      </c>
      <c r="B12" s="19" t="inlineStr">
        <is>
          <t>General-lab purchases in the same order history.</t>
        </is>
      </c>
    </row>
    <row r="13">
      <c r="A13" s="18" t="inlineStr">
        <is>
          <t>Source file</t>
        </is>
      </c>
      <c r="B13" s="19" t="inlineStr">
        <is>
          <t>Generated from inventory.md in the course repo; that file stays the reference for the CAD links.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2026-10-28T11:20:16Z</dcterms:created>
  <dcterms:modified xsi:type="dcterms:W3CDTF">2026-10-29T00:57:04Z</dcterms:modified>
</cp:coreProperties>
</file>